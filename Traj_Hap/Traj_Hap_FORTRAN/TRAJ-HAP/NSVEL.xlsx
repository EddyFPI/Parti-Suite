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FilesActive\CODES\TRAJ-HAP\"/>
    </mc:Choice>
  </mc:AlternateContent>
  <bookViews>
    <workbookView xWindow="0" yWindow="0" windowWidth="14843" windowHeight="9240"/>
  </bookViews>
  <sheets>
    <sheet name="NSVEL" sheetId="1" r:id="rId1"/>
    <sheet name="1000 nm Exit-Rem" sheetId="3" r:id="rId2"/>
    <sheet name="1000 nm Exit-Rem (2)" sheetId="4" r:id="rId3"/>
    <sheet name="100 nm Exit-Rem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7" i="4" l="1"/>
  <c r="AA27" i="3" l="1"/>
  <c r="AA27" i="2" l="1"/>
  <c r="H19" i="1"/>
  <c r="H18" i="1"/>
  <c r="F18" i="1"/>
  <c r="F19" i="1" s="1"/>
  <c r="D18" i="1"/>
  <c r="D19" i="1" s="1"/>
  <c r="C18" i="1"/>
  <c r="C19" i="1" s="1"/>
  <c r="G17" i="1"/>
  <c r="G18" i="1" s="1"/>
  <c r="G19" i="1" s="1"/>
  <c r="E17" i="1"/>
  <c r="E18" i="1" s="1"/>
  <c r="E19" i="1" s="1"/>
  <c r="C17" i="1"/>
  <c r="H11" i="1"/>
  <c r="H12" i="1" s="1"/>
  <c r="G10" i="1"/>
  <c r="G11" i="1" s="1"/>
  <c r="G12" i="1" s="1"/>
  <c r="F11" i="1"/>
  <c r="F12" i="1" s="1"/>
  <c r="E10" i="1"/>
  <c r="E11" i="1" s="1"/>
  <c r="E12" i="1" s="1"/>
  <c r="C10" i="1"/>
  <c r="C11" i="1"/>
  <c r="C12" i="1" s="1"/>
  <c r="D11" i="1"/>
  <c r="D12" i="1" s="1"/>
  <c r="H21" i="1" l="1"/>
</calcChain>
</file>

<file path=xl/sharedStrings.xml><?xml version="1.0" encoding="utf-8"?>
<sst xmlns="http://schemas.openxmlformats.org/spreadsheetml/2006/main" count="291" uniqueCount="98">
  <si>
    <t>m/s</t>
  </si>
  <si>
    <t>m/hr</t>
  </si>
  <si>
    <t>m/day</t>
  </si>
  <si>
    <t>pore</t>
  </si>
  <si>
    <t>superficial</t>
  </si>
  <si>
    <t>Matlab</t>
  </si>
  <si>
    <t>NSVEL</t>
  </si>
  <si>
    <t>Average</t>
  </si>
  <si>
    <t>1 micron colloid</t>
  </si>
  <si>
    <t>2 micron colloid</t>
  </si>
  <si>
    <t>0.1 micron colloid</t>
  </si>
  <si>
    <t>Fortran</t>
  </si>
  <si>
    <t>ATTACHK1=EXIT,ATTACHK2=ATTACHED-BY-PERFECT-SINK-OR-TORQUE,ATTACHK3=REMAINING-UNRESOLVED-WHEN-SIMULATION-ENDS,ATTACHK4=TORQUE-WITH-SLOW-MOTION,ATTACHK5=IN-NEAR-SURFACE-WITH-SLOW-MOTION,ATTACHK6=CRASHED</t>
  </si>
  <si>
    <t>NPART=</t>
  </si>
  <si>
    <t>VSUP(m/s)=</t>
  </si>
  <si>
    <t>RLIM(m)=</t>
  </si>
  <si>
    <t>POROSITY=</t>
  </si>
  <si>
    <t>AG(m)=</t>
  </si>
  <si>
    <t>RB(m)=</t>
  </si>
  <si>
    <t>TTIME(s)=</t>
  </si>
  <si>
    <t>ATTMODE=</t>
  </si>
  <si>
    <t>SLIP(m)=</t>
  </si>
  <si>
    <t>RMODE=</t>
  </si>
  <si>
    <t>ASP(m)=</t>
  </si>
  <si>
    <t>ASP2(m)=</t>
  </si>
  <si>
    <t>AP(m)=</t>
  </si>
  <si>
    <t>IS(mol/m3)=</t>
  </si>
  <si>
    <t>ZI=</t>
  </si>
  <si>
    <t>ZETAP(V)=</t>
  </si>
  <si>
    <t>ZETACST(V)=</t>
  </si>
  <si>
    <t>RHOP(kg/m3)=</t>
  </si>
  <si>
    <t>RHOW(kg/m3)=</t>
  </si>
  <si>
    <t>VISC(kg/m/s)=</t>
  </si>
  <si>
    <t>ER=</t>
  </si>
  <si>
    <t>T(K)=</t>
  </si>
  <si>
    <t>DIFFSCALE=</t>
  </si>
  <si>
    <t>GRAVFACT=</t>
  </si>
  <si>
    <t>SCOV=</t>
  </si>
  <si>
    <t>ZETAHET(V)=</t>
  </si>
  <si>
    <t>HETMODE=</t>
  </si>
  <si>
    <t>RHET0(m)=</t>
  </si>
  <si>
    <t>RHET1(m)=</t>
  </si>
  <si>
    <t>RHET2(m)=</t>
  </si>
  <si>
    <t>RZOIBULK(m)=</t>
  </si>
  <si>
    <t>dTMRT(s)=</t>
  </si>
  <si>
    <t>MULTB=</t>
  </si>
  <si>
    <t>MULTNS=</t>
  </si>
  <si>
    <t>MULTC=</t>
  </si>
  <si>
    <t>A132(J)=</t>
  </si>
  <si>
    <t>LAMBDAVDW(m)=</t>
  </si>
  <si>
    <t>GAMMA0AB(J/m2)=</t>
  </si>
  <si>
    <t>LAMBDAAB(m)=</t>
  </si>
  <si>
    <t>GAMMA0STE(J/m2)=</t>
  </si>
  <si>
    <t>LAMBDASTE(m)=</t>
  </si>
  <si>
    <t>KINT(N/m2)=</t>
  </si>
  <si>
    <t>W132(J/m2)=</t>
  </si>
  <si>
    <t>ACONTMAX(m)=</t>
  </si>
  <si>
    <t>BETA=</t>
  </si>
  <si>
    <t>DFACTNS=</t>
  </si>
  <si>
    <t>DFACTC=</t>
  </si>
  <si>
    <t>A11(J)=</t>
  </si>
  <si>
    <t>A22(J)=</t>
  </si>
  <si>
    <t>A33(J)=</t>
  </si>
  <si>
    <t>AC1C1(J)=</t>
  </si>
  <si>
    <t>AC2C2(J)=</t>
  </si>
  <si>
    <t>T1(m)=</t>
  </si>
  <si>
    <t>T2(m)=</t>
  </si>
  <si>
    <t>PARTICLE</t>
  </si>
  <si>
    <t>ATTACHK</t>
  </si>
  <si>
    <t>XINIT(m)</t>
  </si>
  <si>
    <t>YINIT(m)</t>
  </si>
  <si>
    <t>RINJ(m)</t>
  </si>
  <si>
    <t>ZINIT(m)</t>
  </si>
  <si>
    <t>RINIT(m)</t>
  </si>
  <si>
    <t>HINIT(m)</t>
  </si>
  <si>
    <t>XOUT(m)</t>
  </si>
  <si>
    <t>YOUT(m)</t>
  </si>
  <si>
    <t>ZOUT(m)</t>
  </si>
  <si>
    <t>ROUT(m)</t>
  </si>
  <si>
    <t>HOUT(m)</t>
  </si>
  <si>
    <t>ETIME(s)</t>
  </si>
  <si>
    <t>PTIMEIN(s)</t>
  </si>
  <si>
    <t>PTIMEOUT(s)</t>
  </si>
  <si>
    <t>TBULK(s)</t>
  </si>
  <si>
    <t>TNEAR(s)</t>
  </si>
  <si>
    <t>TFRIC(s)</t>
  </si>
  <si>
    <t>NSVISIT</t>
  </si>
  <si>
    <t>FRICVISIT</t>
  </si>
  <si>
    <t>ACONT(m)</t>
  </si>
  <si>
    <t>RZOI(m)</t>
  </si>
  <si>
    <t>AFRACT</t>
  </si>
  <si>
    <t>HETTYPE</t>
  </si>
  <si>
    <t>HETFLAG</t>
  </si>
  <si>
    <t>NSVEL(m/s)</t>
  </si>
  <si>
    <t>HAVE(m)</t>
  </si>
  <si>
    <t>average</t>
  </si>
  <si>
    <t>ratio NSVEL 100 nm to 1000 nm</t>
  </si>
  <si>
    <t>multb = 1000, multns=100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</si>
</sst>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21"/>
  <sheetViews>
    <sheetView tabSelected="1" workbookViewId="0">
      <selection activeCell="F18" sqref="F18"/>
    </sheetView>
  </sheetViews>
  <sheetFormatPr defaultRowHeight="14.25" x14ac:dyDescent="0.45"/>
  <sheetData>
    <row r="7" spans="1:8" x14ac:dyDescent="0.45">
      <c r="A7" t="s">
        <v>5</v>
      </c>
      <c r="C7" t="s">
        <v>9</v>
      </c>
      <c r="E7" t="s">
        <v>8</v>
      </c>
      <c r="G7" t="s">
        <v>10</v>
      </c>
    </row>
    <row r="8" spans="1:8" x14ac:dyDescent="0.45">
      <c r="C8" s="2" t="s">
        <v>7</v>
      </c>
      <c r="D8" s="3" t="s">
        <v>6</v>
      </c>
      <c r="E8" s="2" t="s">
        <v>7</v>
      </c>
      <c r="F8" s="3" t="s">
        <v>6</v>
      </c>
      <c r="G8" s="2" t="s">
        <v>7</v>
      </c>
      <c r="H8" s="3" t="s">
        <v>6</v>
      </c>
    </row>
    <row r="9" spans="1:8" x14ac:dyDescent="0.45">
      <c r="A9" s="2" t="s">
        <v>4</v>
      </c>
      <c r="B9" s="2" t="s">
        <v>0</v>
      </c>
      <c r="C9" s="3">
        <v>1.6200000000000001E-4</v>
      </c>
      <c r="E9" s="3">
        <v>1.6200000000000001E-5</v>
      </c>
      <c r="G9" s="3">
        <v>1.6200000000000001E-5</v>
      </c>
    </row>
    <row r="10" spans="1:8" x14ac:dyDescent="0.45">
      <c r="A10" s="2" t="s">
        <v>3</v>
      </c>
      <c r="B10" s="2" t="s">
        <v>0</v>
      </c>
      <c r="C10" s="3">
        <f>C9/0.375</f>
        <v>4.3200000000000004E-4</v>
      </c>
      <c r="D10" s="3">
        <v>3.3200000000000001E-5</v>
      </c>
      <c r="E10" s="3">
        <f>E9/0.375</f>
        <v>4.32E-5</v>
      </c>
      <c r="F10" s="3">
        <v>1.4699999999999999E-6</v>
      </c>
      <c r="G10" s="3">
        <f>G9/0.375</f>
        <v>4.32E-5</v>
      </c>
      <c r="H10" s="3"/>
    </row>
    <row r="11" spans="1:8" x14ac:dyDescent="0.45">
      <c r="A11" s="2" t="s">
        <v>3</v>
      </c>
      <c r="B11" s="2" t="s">
        <v>1</v>
      </c>
      <c r="C11" s="3">
        <f t="shared" ref="C11:H11" si="0">C10*3600</f>
        <v>1.5552000000000001</v>
      </c>
      <c r="D11" s="3">
        <f t="shared" si="0"/>
        <v>0.11952</v>
      </c>
      <c r="E11" s="3">
        <f t="shared" si="0"/>
        <v>0.15551999999999999</v>
      </c>
      <c r="F11" s="3">
        <f t="shared" si="0"/>
        <v>5.2919999999999998E-3</v>
      </c>
      <c r="G11" s="3">
        <f t="shared" si="0"/>
        <v>0.15551999999999999</v>
      </c>
      <c r="H11" s="3">
        <f t="shared" si="0"/>
        <v>0</v>
      </c>
    </row>
    <row r="12" spans="1:8" x14ac:dyDescent="0.45">
      <c r="A12" s="2" t="s">
        <v>3</v>
      </c>
      <c r="B12" s="2" t="s">
        <v>2</v>
      </c>
      <c r="C12" s="3">
        <f t="shared" ref="C12:H12" si="1">C11*24</f>
        <v>37.324800000000003</v>
      </c>
      <c r="D12" s="3">
        <f t="shared" si="1"/>
        <v>2.8684799999999999</v>
      </c>
      <c r="E12" s="3">
        <f t="shared" si="1"/>
        <v>3.7324799999999998</v>
      </c>
      <c r="F12" s="3">
        <f t="shared" si="1"/>
        <v>0.12700800000000001</v>
      </c>
      <c r="G12" s="3">
        <f t="shared" si="1"/>
        <v>3.7324799999999998</v>
      </c>
      <c r="H12" s="3">
        <f t="shared" si="1"/>
        <v>0</v>
      </c>
    </row>
    <row r="14" spans="1:8" x14ac:dyDescent="0.45">
      <c r="A14" t="s">
        <v>11</v>
      </c>
      <c r="C14" t="s">
        <v>9</v>
      </c>
      <c r="E14" t="s">
        <v>8</v>
      </c>
      <c r="G14" t="s">
        <v>10</v>
      </c>
    </row>
    <row r="15" spans="1:8" x14ac:dyDescent="0.45">
      <c r="C15" s="2" t="s">
        <v>7</v>
      </c>
      <c r="D15" s="3" t="s">
        <v>6</v>
      </c>
      <c r="E15" s="2" t="s">
        <v>7</v>
      </c>
      <c r="F15" s="3" t="s">
        <v>6</v>
      </c>
      <c r="G15" s="2" t="s">
        <v>7</v>
      </c>
      <c r="H15" s="3" t="s">
        <v>6</v>
      </c>
    </row>
    <row r="16" spans="1:8" x14ac:dyDescent="0.45">
      <c r="A16" s="2" t="s">
        <v>4</v>
      </c>
      <c r="B16" s="2" t="s">
        <v>0</v>
      </c>
      <c r="C16" s="3">
        <v>1.6200000000000001E-5</v>
      </c>
      <c r="E16" s="3">
        <v>1.6200000000000001E-5</v>
      </c>
      <c r="G16" s="3">
        <v>1.6200000000000001E-5</v>
      </c>
    </row>
    <row r="17" spans="1:8" x14ac:dyDescent="0.45">
      <c r="A17" s="2" t="s">
        <v>3</v>
      </c>
      <c r="B17" s="2" t="s">
        <v>0</v>
      </c>
      <c r="C17" s="3">
        <f>C16/0.375</f>
        <v>4.32E-5</v>
      </c>
      <c r="D17" s="3">
        <v>3.3000000000000002E-6</v>
      </c>
      <c r="E17" s="3">
        <f>E16/0.375</f>
        <v>4.32E-5</v>
      </c>
      <c r="F17" s="3">
        <v>1.8500000000000001E-6</v>
      </c>
      <c r="G17" s="3">
        <f>G16/0.375</f>
        <v>4.32E-5</v>
      </c>
      <c r="H17" s="3">
        <v>2.3E-5</v>
      </c>
    </row>
    <row r="18" spans="1:8" x14ac:dyDescent="0.45">
      <c r="A18" s="2" t="s">
        <v>3</v>
      </c>
      <c r="B18" s="2" t="s">
        <v>1</v>
      </c>
      <c r="C18" s="3">
        <f t="shared" ref="C18:H18" si="2">C17*3600</f>
        <v>0.15551999999999999</v>
      </c>
      <c r="D18" s="3">
        <f t="shared" si="2"/>
        <v>1.188E-2</v>
      </c>
      <c r="E18" s="3">
        <f t="shared" si="2"/>
        <v>0.15551999999999999</v>
      </c>
      <c r="F18" s="3">
        <f t="shared" si="2"/>
        <v>6.6600000000000001E-3</v>
      </c>
      <c r="G18" s="3">
        <f t="shared" si="2"/>
        <v>0.15551999999999999</v>
      </c>
      <c r="H18" s="3">
        <f t="shared" si="2"/>
        <v>8.2799999999999999E-2</v>
      </c>
    </row>
    <row r="19" spans="1:8" x14ac:dyDescent="0.45">
      <c r="A19" s="2" t="s">
        <v>3</v>
      </c>
      <c r="B19" s="2" t="s">
        <v>2</v>
      </c>
      <c r="C19" s="3">
        <f t="shared" ref="C19:H19" si="3">C18*24</f>
        <v>3.7324799999999998</v>
      </c>
      <c r="D19" s="3">
        <f t="shared" si="3"/>
        <v>0.28511999999999998</v>
      </c>
      <c r="E19" s="3">
        <f t="shared" si="3"/>
        <v>3.7324799999999998</v>
      </c>
      <c r="F19" s="3">
        <f t="shared" si="3"/>
        <v>0.15984000000000001</v>
      </c>
      <c r="G19" s="3">
        <f t="shared" si="3"/>
        <v>3.7324799999999998</v>
      </c>
      <c r="H19" s="3">
        <f t="shared" si="3"/>
        <v>1.9872000000000001</v>
      </c>
    </row>
    <row r="21" spans="1:8" x14ac:dyDescent="0.45">
      <c r="E21" t="s">
        <v>96</v>
      </c>
      <c r="H21" s="1">
        <f>H18/F18</f>
        <v>12.432432432432432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"/>
  <sheetViews>
    <sheetView topLeftCell="T1" workbookViewId="0">
      <selection activeCell="Z28" sqref="Z28"/>
    </sheetView>
  </sheetViews>
  <sheetFormatPr defaultRowHeight="14.25" x14ac:dyDescent="0.45"/>
  <sheetData>
    <row r="1" spans="1:38" x14ac:dyDescent="0.45">
      <c r="A1" t="s">
        <v>13</v>
      </c>
      <c r="B1">
        <v>20</v>
      </c>
      <c r="C1" t="s">
        <v>14</v>
      </c>
      <c r="D1" s="1">
        <v>1.6200000000000001E-5</v>
      </c>
      <c r="E1" t="s">
        <v>15</v>
      </c>
      <c r="F1" s="1">
        <v>1.0000000000000001E-5</v>
      </c>
      <c r="G1" t="s">
        <v>16</v>
      </c>
      <c r="H1" s="1">
        <v>0.375</v>
      </c>
      <c r="I1" t="s">
        <v>17</v>
      </c>
      <c r="J1" s="1">
        <v>2.5500000000000002E-4</v>
      </c>
      <c r="K1" t="s">
        <v>18</v>
      </c>
      <c r="L1" s="1">
        <v>2.9824981000000001E-4</v>
      </c>
      <c r="M1" t="s">
        <v>19</v>
      </c>
      <c r="N1" s="1">
        <v>5000</v>
      </c>
      <c r="O1" t="s">
        <v>20</v>
      </c>
      <c r="P1">
        <v>1</v>
      </c>
      <c r="Q1" t="s">
        <v>21</v>
      </c>
      <c r="R1" s="1">
        <v>0</v>
      </c>
      <c r="S1" t="s">
        <v>22</v>
      </c>
      <c r="T1">
        <v>0</v>
      </c>
      <c r="U1" t="s">
        <v>23</v>
      </c>
      <c r="V1" s="1">
        <v>0</v>
      </c>
      <c r="W1" t="s">
        <v>24</v>
      </c>
      <c r="X1" s="1">
        <v>0</v>
      </c>
    </row>
    <row r="2" spans="1:38" x14ac:dyDescent="0.45">
      <c r="A2" t="s">
        <v>25</v>
      </c>
      <c r="B2" s="1">
        <v>4.9999999999999998E-7</v>
      </c>
      <c r="C2" t="s">
        <v>26</v>
      </c>
      <c r="D2" s="1">
        <v>6</v>
      </c>
      <c r="E2" t="s">
        <v>27</v>
      </c>
      <c r="F2" s="1">
        <v>1</v>
      </c>
      <c r="G2" t="s">
        <v>28</v>
      </c>
      <c r="H2" s="1">
        <v>-6.5000000000000002E-2</v>
      </c>
      <c r="I2" t="s">
        <v>29</v>
      </c>
      <c r="J2" s="1">
        <v>-7.0000000000000007E-2</v>
      </c>
      <c r="K2" t="s">
        <v>30</v>
      </c>
      <c r="L2" s="1">
        <v>1050</v>
      </c>
      <c r="M2" t="s">
        <v>31</v>
      </c>
      <c r="N2" s="1">
        <v>998</v>
      </c>
      <c r="O2" t="s">
        <v>32</v>
      </c>
      <c r="P2" s="1">
        <v>9.9799999999999997E-4</v>
      </c>
      <c r="Q2" t="s">
        <v>33</v>
      </c>
      <c r="R2" s="1">
        <v>80</v>
      </c>
      <c r="S2" t="s">
        <v>34</v>
      </c>
      <c r="T2" s="1">
        <v>293.2</v>
      </c>
      <c r="U2" t="s">
        <v>35</v>
      </c>
      <c r="V2" s="1">
        <v>1.35</v>
      </c>
      <c r="W2" t="s">
        <v>36</v>
      </c>
      <c r="X2" s="1">
        <v>-1</v>
      </c>
    </row>
    <row r="3" spans="1:38" x14ac:dyDescent="0.45">
      <c r="A3" t="s">
        <v>37</v>
      </c>
      <c r="B3" s="1">
        <v>0.01</v>
      </c>
      <c r="C3" t="s">
        <v>38</v>
      </c>
      <c r="D3" s="1">
        <v>-7.0000000000000007E-2</v>
      </c>
      <c r="E3" t="s">
        <v>39</v>
      </c>
      <c r="F3">
        <v>5</v>
      </c>
      <c r="G3" t="s">
        <v>40</v>
      </c>
      <c r="H3" s="1">
        <v>1.1999999999999999E-7</v>
      </c>
      <c r="I3" t="s">
        <v>41</v>
      </c>
      <c r="J3" s="1">
        <v>5.9999999999999995E-8</v>
      </c>
      <c r="K3" t="s">
        <v>42</v>
      </c>
      <c r="L3" s="1">
        <v>1.9000000000000001E-8</v>
      </c>
      <c r="M3" t="s">
        <v>43</v>
      </c>
      <c r="N3" s="1">
        <v>8.8674402999999997E-8</v>
      </c>
      <c r="O3" t="s">
        <v>44</v>
      </c>
      <c r="P3" s="1">
        <v>5.8450236E-8</v>
      </c>
      <c r="Q3" t="s">
        <v>45</v>
      </c>
      <c r="R3" s="1">
        <v>1000</v>
      </c>
      <c r="S3" t="s">
        <v>46</v>
      </c>
      <c r="T3" s="1">
        <v>100</v>
      </c>
      <c r="U3" t="s">
        <v>47</v>
      </c>
      <c r="V3" s="1">
        <v>0.01</v>
      </c>
    </row>
    <row r="4" spans="1:38" x14ac:dyDescent="0.45">
      <c r="A4" t="s">
        <v>48</v>
      </c>
      <c r="B4" s="1">
        <v>7.1699999999999994E-21</v>
      </c>
      <c r="C4" t="s">
        <v>49</v>
      </c>
      <c r="D4" s="1">
        <v>9.9999999999999995E-8</v>
      </c>
      <c r="E4" t="s">
        <v>50</v>
      </c>
      <c r="F4" s="1">
        <v>-2.7E-2</v>
      </c>
      <c r="G4" t="s">
        <v>51</v>
      </c>
      <c r="H4" s="1">
        <v>6E-10</v>
      </c>
      <c r="I4" t="s">
        <v>52</v>
      </c>
      <c r="J4" s="1">
        <v>1.09E-2</v>
      </c>
      <c r="K4" t="s">
        <v>53</v>
      </c>
      <c r="L4" s="1">
        <v>5.4999999999999996E-10</v>
      </c>
      <c r="M4" t="s">
        <v>54</v>
      </c>
      <c r="N4" s="1">
        <v>4300000000</v>
      </c>
      <c r="O4" t="s">
        <v>55</v>
      </c>
      <c r="P4" s="1">
        <v>-2.9000000000000001E-2</v>
      </c>
      <c r="Q4" t="s">
        <v>56</v>
      </c>
      <c r="R4" s="1">
        <v>3.1675490000000001E-8</v>
      </c>
      <c r="S4" t="s">
        <v>57</v>
      </c>
      <c r="T4" s="1">
        <v>0.5</v>
      </c>
      <c r="U4" t="s">
        <v>58</v>
      </c>
      <c r="V4" s="1">
        <v>0.01</v>
      </c>
      <c r="W4" t="s">
        <v>59</v>
      </c>
      <c r="X4" s="1">
        <v>0.1</v>
      </c>
      <c r="Y4" t="s">
        <v>60</v>
      </c>
      <c r="Z4" s="1">
        <v>6.5000000000000003E-20</v>
      </c>
      <c r="AA4" t="s">
        <v>61</v>
      </c>
      <c r="AB4" s="1">
        <v>6.2999999999999997E-20</v>
      </c>
      <c r="AC4" t="s">
        <v>62</v>
      </c>
      <c r="AD4" s="1">
        <v>3.7000000000000001E-20</v>
      </c>
      <c r="AE4" t="s">
        <v>63</v>
      </c>
      <c r="AF4" s="1">
        <v>7.0000000000000001E-20</v>
      </c>
      <c r="AG4" t="s">
        <v>64</v>
      </c>
      <c r="AH4" s="1">
        <v>1.5100000000000001E-19</v>
      </c>
      <c r="AI4" t="s">
        <v>65</v>
      </c>
      <c r="AJ4" s="1">
        <v>1E-8</v>
      </c>
      <c r="AK4" t="s">
        <v>66</v>
      </c>
      <c r="AL4" s="1">
        <v>9.9999999999999995E-8</v>
      </c>
    </row>
    <row r="5" spans="1:38" x14ac:dyDescent="0.45">
      <c r="A5" t="s">
        <v>12</v>
      </c>
    </row>
    <row r="6" spans="1:38" x14ac:dyDescent="0.4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 t="s">
        <v>87</v>
      </c>
      <c r="V6" t="s">
        <v>88</v>
      </c>
      <c r="W6" t="s">
        <v>89</v>
      </c>
      <c r="X6" t="s">
        <v>90</v>
      </c>
      <c r="Y6" t="s">
        <v>91</v>
      </c>
      <c r="Z6" t="s">
        <v>92</v>
      </c>
      <c r="AA6" t="s">
        <v>93</v>
      </c>
      <c r="AB6" t="s">
        <v>94</v>
      </c>
    </row>
    <row r="7" spans="1:38" x14ac:dyDescent="0.45">
      <c r="A7">
        <v>4</v>
      </c>
      <c r="B7">
        <v>1</v>
      </c>
      <c r="C7" s="1">
        <v>6.6253676000000003E-6</v>
      </c>
      <c r="D7" s="1">
        <v>3.9681599000000002E-6</v>
      </c>
      <c r="E7" s="1">
        <v>7.7228095999999992E-6</v>
      </c>
      <c r="F7" s="1">
        <v>2.9814981000000001E-4</v>
      </c>
      <c r="G7" s="1">
        <v>2.9824981000000001E-4</v>
      </c>
      <c r="H7" s="1">
        <v>4.2749810999999999E-5</v>
      </c>
      <c r="I7" s="1">
        <v>3.2612376999999997E-5</v>
      </c>
      <c r="J7" s="1">
        <v>3.1757524999999997E-5</v>
      </c>
      <c r="K7" s="1">
        <v>-2.9475722999999999E-4</v>
      </c>
      <c r="L7" s="1">
        <v>2.9825145999999998E-4</v>
      </c>
      <c r="M7" s="1">
        <v>4.2751460000000003E-5</v>
      </c>
      <c r="N7" s="1">
        <v>343.06261000000001</v>
      </c>
      <c r="O7" s="1">
        <v>125</v>
      </c>
      <c r="P7" s="1">
        <v>468.06261000000001</v>
      </c>
      <c r="Q7" s="1">
        <v>64.610247000000001</v>
      </c>
      <c r="R7" s="1">
        <v>278.45236</v>
      </c>
      <c r="S7" s="1">
        <v>0</v>
      </c>
      <c r="T7">
        <v>1747</v>
      </c>
      <c r="U7">
        <v>0</v>
      </c>
      <c r="V7" s="1">
        <v>0</v>
      </c>
      <c r="W7" s="1">
        <v>8.8674402999999997E-8</v>
      </c>
      <c r="X7" s="1">
        <v>2.3378370999999998E-2</v>
      </c>
      <c r="Y7">
        <v>1</v>
      </c>
      <c r="Z7">
        <v>1</v>
      </c>
      <c r="AA7" s="1">
        <v>1.4201268E-6</v>
      </c>
      <c r="AB7" s="1">
        <v>5.1917115000000001E-8</v>
      </c>
    </row>
    <row r="8" spans="1:38" x14ac:dyDescent="0.45">
      <c r="A8">
        <v>5</v>
      </c>
      <c r="B8">
        <v>1</v>
      </c>
      <c r="C8" s="1">
        <v>3.9960551999999999E-6</v>
      </c>
      <c r="D8" s="1">
        <v>-6.7532503999999999E-6</v>
      </c>
      <c r="E8" s="1">
        <v>7.8469642999999992E-6</v>
      </c>
      <c r="F8" s="1">
        <v>2.9814657E-4</v>
      </c>
      <c r="G8" s="1">
        <v>2.9824981000000001E-4</v>
      </c>
      <c r="H8" s="1">
        <v>4.2749810999999999E-5</v>
      </c>
      <c r="I8" s="1">
        <v>3.6073601999999998E-5</v>
      </c>
      <c r="J8" s="1">
        <v>-3.5105216999999997E-5</v>
      </c>
      <c r="K8" s="1">
        <v>-2.9397283999999999E-4</v>
      </c>
      <c r="L8" s="1">
        <v>2.9825108999999999E-4</v>
      </c>
      <c r="M8" s="1">
        <v>4.2751092000000003E-5</v>
      </c>
      <c r="N8" s="1">
        <v>70.050994000000003</v>
      </c>
      <c r="O8" s="1">
        <v>166.66667000000001</v>
      </c>
      <c r="P8" s="1">
        <v>236.71766</v>
      </c>
      <c r="Q8" s="1">
        <v>69.946753999999999</v>
      </c>
      <c r="R8" s="1">
        <v>0.10424015</v>
      </c>
      <c r="S8" s="1">
        <v>0</v>
      </c>
      <c r="T8">
        <v>50</v>
      </c>
      <c r="U8">
        <v>0</v>
      </c>
      <c r="V8" s="1">
        <v>0</v>
      </c>
      <c r="W8" s="1">
        <v>8.8674402999999997E-8</v>
      </c>
      <c r="X8" s="1">
        <v>0</v>
      </c>
      <c r="Y8">
        <v>0</v>
      </c>
      <c r="Z8">
        <v>1</v>
      </c>
      <c r="AA8" s="1">
        <v>9.1216588000000007E-6</v>
      </c>
      <c r="AB8" s="1">
        <v>1.6895399999999999E-7</v>
      </c>
    </row>
    <row r="9" spans="1:38" x14ac:dyDescent="0.45">
      <c r="A9">
        <v>13</v>
      </c>
      <c r="B9">
        <v>1</v>
      </c>
      <c r="C9" s="1">
        <v>-2.2685570000000001E-6</v>
      </c>
      <c r="D9" s="1">
        <v>5.7242520999999999E-6</v>
      </c>
      <c r="E9" s="1">
        <v>6.1573868000000001E-6</v>
      </c>
      <c r="F9" s="1">
        <v>2.9818624E-4</v>
      </c>
      <c r="G9" s="1">
        <v>2.9824981000000001E-4</v>
      </c>
      <c r="H9" s="1">
        <v>4.2749810999999999E-5</v>
      </c>
      <c r="I9" s="1">
        <v>-3.4811001999999999E-6</v>
      </c>
      <c r="J9" s="1">
        <v>7.9274617000000003E-7</v>
      </c>
      <c r="K9" s="1">
        <v>-2.982309E-4</v>
      </c>
      <c r="L9" s="1">
        <v>2.9825227E-4</v>
      </c>
      <c r="M9" s="1">
        <v>4.2752266000000001E-5</v>
      </c>
      <c r="N9" s="1">
        <v>732.09740999999997</v>
      </c>
      <c r="O9" s="1">
        <v>500</v>
      </c>
      <c r="P9" s="1">
        <v>1232.0974000000001</v>
      </c>
      <c r="Q9" s="1">
        <v>122.15743000000001</v>
      </c>
      <c r="R9" s="1">
        <v>609.93997999999999</v>
      </c>
      <c r="S9" s="1">
        <v>0</v>
      </c>
      <c r="T9">
        <v>3487</v>
      </c>
      <c r="U9">
        <v>0</v>
      </c>
      <c r="V9" s="1">
        <v>0</v>
      </c>
      <c r="W9" s="1">
        <v>8.8674402999999997E-8</v>
      </c>
      <c r="X9" s="1">
        <v>0</v>
      </c>
      <c r="Y9">
        <v>0</v>
      </c>
      <c r="Z9">
        <v>1</v>
      </c>
      <c r="AA9" s="1">
        <v>1.0238517999999999E-6</v>
      </c>
      <c r="AB9" s="1">
        <v>5.0991118000000001E-8</v>
      </c>
    </row>
    <row r="10" spans="1:38" x14ac:dyDescent="0.45">
      <c r="A10">
        <v>16</v>
      </c>
      <c r="B10">
        <v>1</v>
      </c>
      <c r="C10" s="1">
        <v>4.8782710000000002E-6</v>
      </c>
      <c r="D10" s="1">
        <v>-5.7534158000000004E-6</v>
      </c>
      <c r="E10" s="1">
        <v>7.5431639E-6</v>
      </c>
      <c r="F10" s="1">
        <v>2.9815441000000001E-4</v>
      </c>
      <c r="G10" s="1">
        <v>2.9824981000000001E-4</v>
      </c>
      <c r="H10" s="1">
        <v>4.2749810999999999E-5</v>
      </c>
      <c r="I10" s="1">
        <v>1.9556751000000002E-5</v>
      </c>
      <c r="J10" s="1">
        <v>-2.7800494999999999E-5</v>
      </c>
      <c r="K10" s="1">
        <v>-2.9631774000000001E-4</v>
      </c>
      <c r="L10" s="1">
        <v>2.9826085000000003E-4</v>
      </c>
      <c r="M10" s="1">
        <v>4.2760852000000001E-5</v>
      </c>
      <c r="N10" s="1">
        <v>84.829387999999994</v>
      </c>
      <c r="O10" s="1">
        <v>625</v>
      </c>
      <c r="P10" s="1">
        <v>709.82938999999999</v>
      </c>
      <c r="Q10" s="1">
        <v>81.017638000000005</v>
      </c>
      <c r="R10" s="1">
        <v>3.8117502999999999</v>
      </c>
      <c r="S10" s="1">
        <v>0</v>
      </c>
      <c r="T10">
        <v>98</v>
      </c>
      <c r="U10">
        <v>0</v>
      </c>
      <c r="V10" s="1">
        <v>0</v>
      </c>
      <c r="W10" s="1">
        <v>8.8674402999999997E-8</v>
      </c>
      <c r="X10" s="1">
        <v>0</v>
      </c>
      <c r="Y10">
        <v>0</v>
      </c>
      <c r="Z10">
        <v>1</v>
      </c>
      <c r="AA10" s="1">
        <v>1.2429543E-6</v>
      </c>
      <c r="AB10" s="1">
        <v>6.2449094000000002E-8</v>
      </c>
    </row>
    <row r="11" spans="1:38" x14ac:dyDescent="0.45">
      <c r="A11">
        <v>17</v>
      </c>
      <c r="B11">
        <v>1</v>
      </c>
      <c r="C11" s="1">
        <v>2.4719541000000002E-6</v>
      </c>
      <c r="D11" s="1">
        <v>-8.2550256999999994E-6</v>
      </c>
      <c r="E11" s="1">
        <v>8.6171925000000006E-6</v>
      </c>
      <c r="F11" s="1">
        <v>2.9812529999999999E-4</v>
      </c>
      <c r="G11" s="1">
        <v>2.9824981000000001E-4</v>
      </c>
      <c r="H11" s="1">
        <v>4.2749810999999999E-5</v>
      </c>
      <c r="I11" s="1">
        <v>2.7461223E-5</v>
      </c>
      <c r="J11" s="1">
        <v>-3.1072948999999999E-5</v>
      </c>
      <c r="K11" s="1">
        <v>-2.9535630999999999E-4</v>
      </c>
      <c r="L11" s="1">
        <v>2.9825324999999998E-4</v>
      </c>
      <c r="M11" s="1">
        <v>4.2753246000000002E-5</v>
      </c>
      <c r="N11" s="1">
        <v>64.334361999999999</v>
      </c>
      <c r="O11" s="1">
        <v>666.66666999999995</v>
      </c>
      <c r="P11" s="1">
        <v>731.00103000000001</v>
      </c>
      <c r="Q11" s="1">
        <v>64.334361999999999</v>
      </c>
      <c r="R11" s="1">
        <v>0</v>
      </c>
      <c r="S11" s="1">
        <v>0</v>
      </c>
      <c r="T11">
        <v>0</v>
      </c>
      <c r="U11">
        <v>0</v>
      </c>
      <c r="V11" s="1">
        <v>0</v>
      </c>
      <c r="W11" s="1">
        <v>8.8674402999999997E-8</v>
      </c>
      <c r="X11" s="1">
        <v>-1</v>
      </c>
      <c r="Y11">
        <v>0</v>
      </c>
      <c r="Z11">
        <v>1</v>
      </c>
      <c r="AA11" s="1">
        <v>0</v>
      </c>
      <c r="AB11" s="1">
        <v>0</v>
      </c>
    </row>
    <row r="12" spans="1:38" x14ac:dyDescent="0.45">
      <c r="A12">
        <v>18</v>
      </c>
      <c r="B12">
        <v>1</v>
      </c>
      <c r="C12" s="1">
        <v>2.9651318999999999E-6</v>
      </c>
      <c r="D12" s="1">
        <v>-5.4478896000000004E-6</v>
      </c>
      <c r="E12" s="1">
        <v>6.2025405000000003E-6</v>
      </c>
      <c r="F12" s="1">
        <v>2.9818530999999997E-4</v>
      </c>
      <c r="G12" s="1">
        <v>2.9824981000000001E-4</v>
      </c>
      <c r="H12" s="1">
        <v>4.2749810999999999E-5</v>
      </c>
      <c r="I12" s="1">
        <v>2.2430441999999999E-5</v>
      </c>
      <c r="J12" s="1">
        <v>-6.3682357999999997E-5</v>
      </c>
      <c r="K12" s="1">
        <v>-2.9050872999999999E-4</v>
      </c>
      <c r="L12" s="1">
        <v>2.9825137999999997E-4</v>
      </c>
      <c r="M12" s="1">
        <v>4.2751382999999999E-5</v>
      </c>
      <c r="N12" s="1">
        <v>55.852297999999998</v>
      </c>
      <c r="O12" s="1">
        <v>708.33333000000005</v>
      </c>
      <c r="P12" s="1">
        <v>764.18562999999995</v>
      </c>
      <c r="Q12" s="1">
        <v>55.852297999999998</v>
      </c>
      <c r="R12" s="1">
        <v>0</v>
      </c>
      <c r="S12" s="1">
        <v>0</v>
      </c>
      <c r="T12">
        <v>0</v>
      </c>
      <c r="U12">
        <v>0</v>
      </c>
      <c r="V12" s="1">
        <v>0</v>
      </c>
      <c r="W12" s="1">
        <v>8.8674402999999997E-8</v>
      </c>
      <c r="X12" s="1">
        <v>-1</v>
      </c>
      <c r="Y12">
        <v>0</v>
      </c>
      <c r="Z12">
        <v>1</v>
      </c>
      <c r="AA12" s="1">
        <v>0</v>
      </c>
      <c r="AB12" s="1">
        <v>0</v>
      </c>
    </row>
    <row r="13" spans="1:38" x14ac:dyDescent="0.45">
      <c r="A13">
        <v>20</v>
      </c>
      <c r="B13">
        <v>1</v>
      </c>
      <c r="C13" s="1">
        <v>4.0976715000000001E-6</v>
      </c>
      <c r="D13" s="1">
        <v>-1.5618094E-6</v>
      </c>
      <c r="E13" s="1">
        <v>4.3852206000000001E-6</v>
      </c>
      <c r="F13" s="1">
        <v>2.9821756999999998E-4</v>
      </c>
      <c r="G13" s="1">
        <v>2.9824981000000001E-4</v>
      </c>
      <c r="H13" s="1">
        <v>4.2749810999999999E-5</v>
      </c>
      <c r="I13" s="1">
        <v>3.3297015999999999E-6</v>
      </c>
      <c r="J13" s="1">
        <v>2.4632676E-6</v>
      </c>
      <c r="K13" s="1">
        <v>-2.9822688999999998E-4</v>
      </c>
      <c r="L13" s="1">
        <v>2.9825564999999999E-4</v>
      </c>
      <c r="M13" s="1">
        <v>4.2755652999999999E-5</v>
      </c>
      <c r="N13" s="1">
        <v>577.99414000000002</v>
      </c>
      <c r="O13" s="1">
        <v>791.66666999999995</v>
      </c>
      <c r="P13" s="1">
        <v>1369.6608000000001</v>
      </c>
      <c r="Q13" s="1">
        <v>91.399626999999995</v>
      </c>
      <c r="R13" s="1">
        <v>486.59451999999999</v>
      </c>
      <c r="S13" s="1">
        <v>0</v>
      </c>
      <c r="T13">
        <v>2330</v>
      </c>
      <c r="U13">
        <v>0</v>
      </c>
      <c r="V13" s="1">
        <v>0</v>
      </c>
      <c r="W13" s="1">
        <v>8.8674402999999997E-8</v>
      </c>
      <c r="X13" s="1">
        <v>0</v>
      </c>
      <c r="Y13">
        <v>0</v>
      </c>
      <c r="Z13">
        <v>1</v>
      </c>
      <c r="AA13" s="1">
        <v>1.1761519000000001E-6</v>
      </c>
      <c r="AB13" s="1">
        <v>5.0973713999999999E-8</v>
      </c>
    </row>
    <row r="14" spans="1:38" x14ac:dyDescent="0.45">
      <c r="A14">
        <v>1</v>
      </c>
      <c r="B14">
        <v>5</v>
      </c>
      <c r="C14" s="1">
        <v>-5.8527281999999997E-6</v>
      </c>
      <c r="D14" s="1">
        <v>-6.6737004999999999E-6</v>
      </c>
      <c r="E14" s="1">
        <v>8.8765256000000002E-6</v>
      </c>
      <c r="F14" s="1">
        <v>2.9811768999999999E-4</v>
      </c>
      <c r="G14" s="1">
        <v>2.9824981000000001E-4</v>
      </c>
      <c r="H14" s="1">
        <v>4.2749810999999999E-5</v>
      </c>
      <c r="I14" s="1">
        <v>-6.3174593000000004E-5</v>
      </c>
      <c r="J14" s="1">
        <v>-6.8062298999999998E-5</v>
      </c>
      <c r="K14" s="1">
        <v>2.3806895E-4</v>
      </c>
      <c r="L14" s="1">
        <v>2.5553929999999999E-4</v>
      </c>
      <c r="M14" s="1">
        <v>3.9296680999999999E-8</v>
      </c>
      <c r="N14" s="1">
        <v>72.524538000000007</v>
      </c>
      <c r="O14" s="1">
        <v>0</v>
      </c>
      <c r="P14" s="1">
        <v>72.524538000000007</v>
      </c>
      <c r="Q14" s="1">
        <v>20.333843000000002</v>
      </c>
      <c r="R14" s="1">
        <v>52.190694999999998</v>
      </c>
      <c r="S14" s="1">
        <v>0</v>
      </c>
      <c r="T14">
        <v>88</v>
      </c>
      <c r="U14">
        <v>0</v>
      </c>
      <c r="V14" s="1">
        <v>0</v>
      </c>
      <c r="W14" s="1">
        <v>8.8674402999999997E-8</v>
      </c>
      <c r="X14" s="1">
        <v>0</v>
      </c>
      <c r="Y14">
        <v>0</v>
      </c>
      <c r="Z14">
        <v>1</v>
      </c>
      <c r="AA14" s="1">
        <v>7.7385771000000003E-7</v>
      </c>
      <c r="AB14" s="1">
        <v>4.8463797999999998E-8</v>
      </c>
    </row>
    <row r="15" spans="1:38" x14ac:dyDescent="0.45">
      <c r="A15">
        <v>2</v>
      </c>
      <c r="B15">
        <v>5</v>
      </c>
      <c r="C15" s="1">
        <v>9.2073143000000005E-6</v>
      </c>
      <c r="D15" s="1">
        <v>3.1002181E-6</v>
      </c>
      <c r="E15" s="1">
        <v>9.7152451999999994E-6</v>
      </c>
      <c r="F15" s="1">
        <v>2.9809154000000001E-4</v>
      </c>
      <c r="G15" s="1">
        <v>2.9824981000000001E-4</v>
      </c>
      <c r="H15" s="1">
        <v>4.2749810999999999E-5</v>
      </c>
      <c r="I15" s="1">
        <v>2.3013904E-4</v>
      </c>
      <c r="J15" s="1">
        <v>1.0298624E-4</v>
      </c>
      <c r="K15" s="1">
        <v>-4.172038E-5</v>
      </c>
      <c r="L15" s="1">
        <v>2.5555964999999999E-4</v>
      </c>
      <c r="M15" s="1">
        <v>5.9646204000000002E-8</v>
      </c>
      <c r="N15" s="1">
        <v>176.0686</v>
      </c>
      <c r="O15" s="1">
        <v>41.666666999999997</v>
      </c>
      <c r="P15" s="1">
        <v>217.73527000000001</v>
      </c>
      <c r="Q15" s="1">
        <v>45.029125999999998</v>
      </c>
      <c r="R15" s="1">
        <v>131.03946999999999</v>
      </c>
      <c r="S15" s="1">
        <v>0</v>
      </c>
      <c r="T15">
        <v>767</v>
      </c>
      <c r="U15">
        <v>0</v>
      </c>
      <c r="V15" s="1">
        <v>0</v>
      </c>
      <c r="W15" s="1">
        <v>8.8674402999999997E-8</v>
      </c>
      <c r="X15" s="1">
        <v>0</v>
      </c>
      <c r="Y15">
        <v>0</v>
      </c>
      <c r="Z15">
        <v>1</v>
      </c>
      <c r="AA15" s="1">
        <v>1.5737892000000001E-6</v>
      </c>
      <c r="AB15" s="1">
        <v>5.0917641999999998E-8</v>
      </c>
    </row>
    <row r="16" spans="1:38" x14ac:dyDescent="0.45">
      <c r="A16">
        <v>3</v>
      </c>
      <c r="B16">
        <v>5</v>
      </c>
      <c r="C16" s="1">
        <v>5.0431357000000004E-6</v>
      </c>
      <c r="D16" s="1">
        <v>-7.9356034000000004E-6</v>
      </c>
      <c r="E16" s="1">
        <v>9.4025005999999998E-6</v>
      </c>
      <c r="F16" s="1">
        <v>2.9810155999999998E-4</v>
      </c>
      <c r="G16" s="1">
        <v>2.9824981000000001E-4</v>
      </c>
      <c r="H16" s="1">
        <v>4.2749810999999999E-5</v>
      </c>
      <c r="I16" s="1">
        <v>5.0033154000000002E-5</v>
      </c>
      <c r="J16" s="1">
        <v>-2.3611115999999999E-4</v>
      </c>
      <c r="K16" s="1">
        <v>8.3961773000000006E-5</v>
      </c>
      <c r="L16" s="1">
        <v>2.5554134000000002E-4</v>
      </c>
      <c r="M16" s="1">
        <v>4.1341555999999998E-8</v>
      </c>
      <c r="N16" s="1">
        <v>58.607923</v>
      </c>
      <c r="O16" s="1">
        <v>83.333332999999996</v>
      </c>
      <c r="P16" s="1">
        <v>141.94126</v>
      </c>
      <c r="Q16" s="1">
        <v>42.953674999999997</v>
      </c>
      <c r="R16" s="1">
        <v>15.654247</v>
      </c>
      <c r="S16" s="1">
        <v>0</v>
      </c>
      <c r="T16">
        <v>8</v>
      </c>
      <c r="U16">
        <v>0</v>
      </c>
      <c r="V16" s="1">
        <v>0</v>
      </c>
      <c r="W16" s="1">
        <v>8.8674402999999997E-8</v>
      </c>
      <c r="X16" s="1">
        <v>0</v>
      </c>
      <c r="Y16">
        <v>0</v>
      </c>
      <c r="Z16">
        <v>1</v>
      </c>
      <c r="AA16" s="1">
        <v>2.6668388000000001E-5</v>
      </c>
      <c r="AB16" s="1">
        <v>4.7423533999999999E-8</v>
      </c>
    </row>
    <row r="17" spans="1:28" x14ac:dyDescent="0.45">
      <c r="A17">
        <v>6</v>
      </c>
      <c r="B17">
        <v>5</v>
      </c>
      <c r="C17" s="1">
        <v>6.8693950000000003E-6</v>
      </c>
      <c r="D17" s="1">
        <v>-1.0587455999999999E-6</v>
      </c>
      <c r="E17" s="1">
        <v>6.9505057999999996E-6</v>
      </c>
      <c r="F17" s="1">
        <v>2.9816880999999998E-4</v>
      </c>
      <c r="G17" s="1">
        <v>2.9824981000000001E-4</v>
      </c>
      <c r="H17" s="1">
        <v>4.2749810999999999E-5</v>
      </c>
      <c r="I17" s="1">
        <v>1.9951478999999999E-4</v>
      </c>
      <c r="J17" s="1">
        <v>-1.0827391999999999E-4</v>
      </c>
      <c r="K17" s="1">
        <v>1.1736546E-4</v>
      </c>
      <c r="L17" s="1">
        <v>2.5554655999999998E-4</v>
      </c>
      <c r="M17" s="1">
        <v>4.6557253000000002E-8</v>
      </c>
      <c r="N17" s="1">
        <v>72.716588000000002</v>
      </c>
      <c r="O17" s="1">
        <v>208.33332999999999</v>
      </c>
      <c r="P17" s="1">
        <v>281.04991999999999</v>
      </c>
      <c r="Q17" s="1">
        <v>43.969540000000002</v>
      </c>
      <c r="R17" s="1">
        <v>28.747046999999998</v>
      </c>
      <c r="S17" s="1">
        <v>0</v>
      </c>
      <c r="T17">
        <v>53</v>
      </c>
      <c r="U17">
        <v>0</v>
      </c>
      <c r="V17" s="1">
        <v>0</v>
      </c>
      <c r="W17" s="1">
        <v>8.8674402999999997E-8</v>
      </c>
      <c r="X17" s="1">
        <v>0</v>
      </c>
      <c r="Y17">
        <v>0</v>
      </c>
      <c r="Z17">
        <v>1</v>
      </c>
      <c r="AA17" s="1">
        <v>1.3211613E-6</v>
      </c>
      <c r="AB17" s="1">
        <v>5.131226E-8</v>
      </c>
    </row>
    <row r="18" spans="1:28" x14ac:dyDescent="0.45">
      <c r="A18">
        <v>7</v>
      </c>
      <c r="B18">
        <v>5</v>
      </c>
      <c r="C18" s="1">
        <v>-1.0253489000000001E-6</v>
      </c>
      <c r="D18" s="1">
        <v>-1.1249457999999999E-6</v>
      </c>
      <c r="E18" s="1">
        <v>1.5221181E-6</v>
      </c>
      <c r="F18" s="1">
        <v>2.9824593000000001E-4</v>
      </c>
      <c r="G18" s="1">
        <v>2.9824981000000001E-4</v>
      </c>
      <c r="H18" s="1">
        <v>4.2749810999999999E-5</v>
      </c>
      <c r="I18" s="1">
        <v>-8.3506164999999994E-6</v>
      </c>
      <c r="J18" s="1">
        <v>-3.9628594999999998E-6</v>
      </c>
      <c r="K18" s="1">
        <v>2.5538614000000001E-4</v>
      </c>
      <c r="L18" s="1">
        <v>2.5555336000000002E-4</v>
      </c>
      <c r="M18" s="1">
        <v>5.3358225000000003E-8</v>
      </c>
      <c r="N18" s="1">
        <v>67.012330000000006</v>
      </c>
      <c r="O18" s="1">
        <v>250</v>
      </c>
      <c r="P18" s="1">
        <v>317.01233000000002</v>
      </c>
      <c r="Q18" s="1">
        <v>20.150894000000001</v>
      </c>
      <c r="R18" s="1">
        <v>46.861435999999998</v>
      </c>
      <c r="S18" s="1">
        <v>0</v>
      </c>
      <c r="T18">
        <v>639</v>
      </c>
      <c r="U18">
        <v>0</v>
      </c>
      <c r="V18" s="1">
        <v>0</v>
      </c>
      <c r="W18" s="1">
        <v>8.8674402999999997E-8</v>
      </c>
      <c r="X18" s="1">
        <v>0</v>
      </c>
      <c r="Y18">
        <v>0</v>
      </c>
      <c r="Z18">
        <v>1</v>
      </c>
      <c r="AA18" s="1">
        <v>4.9410209000000002E-7</v>
      </c>
      <c r="AB18" s="1">
        <v>5.3927968000000001E-8</v>
      </c>
    </row>
    <row r="19" spans="1:28" x14ac:dyDescent="0.45">
      <c r="A19">
        <v>8</v>
      </c>
      <c r="B19">
        <v>5</v>
      </c>
      <c r="C19" s="1">
        <v>5.3051440999999997E-6</v>
      </c>
      <c r="D19" s="1">
        <v>-8.0799525000000006E-6</v>
      </c>
      <c r="E19" s="1">
        <v>9.6659291999999993E-6</v>
      </c>
      <c r="F19" s="1">
        <v>2.9809314000000002E-4</v>
      </c>
      <c r="G19" s="1">
        <v>2.9824981000000001E-4</v>
      </c>
      <c r="H19" s="1">
        <v>4.2749810999999999E-5</v>
      </c>
      <c r="I19" s="1">
        <v>6.9306316999999997E-5</v>
      </c>
      <c r="J19" s="1">
        <v>-2.4154003000000001E-4</v>
      </c>
      <c r="K19" s="1">
        <v>-4.6487126999999998E-5</v>
      </c>
      <c r="L19" s="1">
        <v>2.5555039999999998E-4</v>
      </c>
      <c r="M19" s="1">
        <v>5.0398619999999998E-8</v>
      </c>
      <c r="N19" s="1">
        <v>213.24659</v>
      </c>
      <c r="O19" s="1">
        <v>291.66667000000001</v>
      </c>
      <c r="P19" s="1">
        <v>504.91325999999998</v>
      </c>
      <c r="Q19" s="1">
        <v>45.965615999999997</v>
      </c>
      <c r="R19" s="1">
        <v>167.28097</v>
      </c>
      <c r="S19" s="1">
        <v>0</v>
      </c>
      <c r="T19">
        <v>584</v>
      </c>
      <c r="U19">
        <v>0</v>
      </c>
      <c r="V19" s="1">
        <v>0</v>
      </c>
      <c r="W19" s="1">
        <v>8.8674402999999997E-8</v>
      </c>
      <c r="X19" s="1">
        <v>0</v>
      </c>
      <c r="Y19">
        <v>0</v>
      </c>
      <c r="Z19">
        <v>1</v>
      </c>
      <c r="AA19" s="1">
        <v>1.4551555999999999E-6</v>
      </c>
      <c r="AB19" s="1">
        <v>4.9692329000000002E-8</v>
      </c>
    </row>
    <row r="20" spans="1:28" x14ac:dyDescent="0.45">
      <c r="A20">
        <v>9</v>
      </c>
      <c r="B20">
        <v>5</v>
      </c>
      <c r="C20" s="1">
        <v>3.1774223999999998E-6</v>
      </c>
      <c r="D20" s="1">
        <v>-8.8794884000000006E-6</v>
      </c>
      <c r="E20" s="1">
        <v>9.4308710000000005E-6</v>
      </c>
      <c r="F20" s="1">
        <v>2.9810067000000002E-4</v>
      </c>
      <c r="G20" s="1">
        <v>2.9824981000000001E-4</v>
      </c>
      <c r="H20" s="1">
        <v>4.2749810999999999E-5</v>
      </c>
      <c r="I20" s="1">
        <v>9.9453749E-5</v>
      </c>
      <c r="J20" s="1">
        <v>-2.2795948E-4</v>
      </c>
      <c r="K20" s="1">
        <v>5.8731036000000002E-5</v>
      </c>
      <c r="L20" s="1">
        <v>2.5555020999999998E-4</v>
      </c>
      <c r="M20" s="1">
        <v>5.0205092000000001E-8</v>
      </c>
      <c r="N20" s="1">
        <v>187.76705999999999</v>
      </c>
      <c r="O20" s="1">
        <v>333.33332999999999</v>
      </c>
      <c r="P20" s="1">
        <v>521.10038999999995</v>
      </c>
      <c r="Q20" s="1">
        <v>30.119816</v>
      </c>
      <c r="R20" s="1">
        <v>157.64724000000001</v>
      </c>
      <c r="S20" s="1">
        <v>0</v>
      </c>
      <c r="T20">
        <v>461</v>
      </c>
      <c r="U20">
        <v>0</v>
      </c>
      <c r="V20" s="1">
        <v>0</v>
      </c>
      <c r="W20" s="1">
        <v>8.8674402999999997E-8</v>
      </c>
      <c r="X20" s="1">
        <v>0</v>
      </c>
      <c r="Y20">
        <v>0</v>
      </c>
      <c r="Z20">
        <v>1</v>
      </c>
      <c r="AA20" s="1">
        <v>1.2494715E-6</v>
      </c>
      <c r="AB20" s="1">
        <v>4.9792372E-8</v>
      </c>
    </row>
    <row r="21" spans="1:28" x14ac:dyDescent="0.45">
      <c r="A21">
        <v>10</v>
      </c>
      <c r="B21">
        <v>5</v>
      </c>
      <c r="C21" s="1">
        <v>-9.4366351999999994E-6</v>
      </c>
      <c r="D21" s="1">
        <v>-7.2807475999999999E-7</v>
      </c>
      <c r="E21" s="1">
        <v>9.4646804999999993E-6</v>
      </c>
      <c r="F21" s="1">
        <v>2.9809960000000001E-4</v>
      </c>
      <c r="G21" s="1">
        <v>2.9824981000000001E-4</v>
      </c>
      <c r="H21" s="1">
        <v>4.2749810999999999E-5</v>
      </c>
      <c r="I21" s="1">
        <v>-4.0512183000000002E-5</v>
      </c>
      <c r="J21" s="1">
        <v>4.6803044999999997E-6</v>
      </c>
      <c r="K21" s="1">
        <v>-2.5226596000000001E-4</v>
      </c>
      <c r="L21" s="1">
        <v>2.5554111000000002E-4</v>
      </c>
      <c r="M21" s="1">
        <v>4.1108684E-8</v>
      </c>
      <c r="N21" s="1">
        <v>453.02967000000001</v>
      </c>
      <c r="O21" s="1">
        <v>375</v>
      </c>
      <c r="P21" s="1">
        <v>828.02967000000001</v>
      </c>
      <c r="Q21" s="1">
        <v>78.314723000000001</v>
      </c>
      <c r="R21" s="1">
        <v>374.71494000000001</v>
      </c>
      <c r="S21" s="1">
        <v>0</v>
      </c>
      <c r="T21">
        <v>2111</v>
      </c>
      <c r="U21">
        <v>0</v>
      </c>
      <c r="V21" s="1">
        <v>0</v>
      </c>
      <c r="W21" s="1">
        <v>8.8674402999999997E-8</v>
      </c>
      <c r="X21" s="1">
        <v>0</v>
      </c>
      <c r="Y21">
        <v>0</v>
      </c>
      <c r="Z21">
        <v>1</v>
      </c>
      <c r="AA21" s="1">
        <v>1.1699846000000001E-6</v>
      </c>
      <c r="AB21" s="1">
        <v>5.1314546000000001E-8</v>
      </c>
    </row>
    <row r="22" spans="1:28" x14ac:dyDescent="0.45">
      <c r="A22">
        <v>11</v>
      </c>
      <c r="B22">
        <v>5</v>
      </c>
      <c r="C22" s="1">
        <v>2.4227135999999999E-6</v>
      </c>
      <c r="D22" s="1">
        <v>-2.9744062999999998E-6</v>
      </c>
      <c r="E22" s="1">
        <v>3.8362264999999998E-6</v>
      </c>
      <c r="F22" s="1">
        <v>2.9822513999999998E-4</v>
      </c>
      <c r="G22" s="1">
        <v>2.9824981000000001E-4</v>
      </c>
      <c r="H22" s="1">
        <v>4.2749810999999999E-5</v>
      </c>
      <c r="I22" s="1">
        <v>1.3069561000000001E-4</v>
      </c>
      <c r="J22" s="1">
        <v>-2.1273916E-5</v>
      </c>
      <c r="K22" s="1">
        <v>2.1856744E-4</v>
      </c>
      <c r="L22" s="1">
        <v>2.5554969E-4</v>
      </c>
      <c r="M22" s="1">
        <v>4.9692816000000001E-8</v>
      </c>
      <c r="N22" s="1">
        <v>321.22868999999997</v>
      </c>
      <c r="O22" s="1">
        <v>416.66667000000001</v>
      </c>
      <c r="P22" s="1">
        <v>737.89535999999998</v>
      </c>
      <c r="Q22" s="1">
        <v>44.737050000000004</v>
      </c>
      <c r="R22" s="1">
        <v>276.49164000000002</v>
      </c>
      <c r="S22" s="1">
        <v>0</v>
      </c>
      <c r="T22">
        <v>809</v>
      </c>
      <c r="U22">
        <v>0</v>
      </c>
      <c r="V22" s="1">
        <v>0</v>
      </c>
      <c r="W22" s="1">
        <v>8.8674402999999997E-8</v>
      </c>
      <c r="X22" s="1">
        <v>0</v>
      </c>
      <c r="Y22">
        <v>0</v>
      </c>
      <c r="Z22">
        <v>1</v>
      </c>
      <c r="AA22" s="1">
        <v>4.4339762000000001E-7</v>
      </c>
      <c r="AB22" s="1">
        <v>4.9298917E-8</v>
      </c>
    </row>
    <row r="23" spans="1:28" x14ac:dyDescent="0.45">
      <c r="A23">
        <v>12</v>
      </c>
      <c r="B23">
        <v>5</v>
      </c>
      <c r="C23" s="1">
        <v>-4.1883839E-6</v>
      </c>
      <c r="D23" s="1">
        <v>-6.1219220999999999E-6</v>
      </c>
      <c r="E23" s="1">
        <v>7.4175798000000003E-6</v>
      </c>
      <c r="F23" s="1">
        <v>2.9815756E-4</v>
      </c>
      <c r="G23" s="1">
        <v>2.9824981000000001E-4</v>
      </c>
      <c r="H23" s="1">
        <v>4.2749810999999999E-5</v>
      </c>
      <c r="I23" s="1">
        <v>-3.0465034E-6</v>
      </c>
      <c r="J23" s="1">
        <v>-3.4623774000000001E-5</v>
      </c>
      <c r="K23" s="1">
        <v>2.5316409999999998E-4</v>
      </c>
      <c r="L23" s="1">
        <v>2.5553894000000002E-4</v>
      </c>
      <c r="M23" s="1">
        <v>3.8940797000000003E-8</v>
      </c>
      <c r="N23" s="1">
        <v>60.934032000000002</v>
      </c>
      <c r="O23" s="1">
        <v>458.33332999999999</v>
      </c>
      <c r="P23" s="1">
        <v>519.26736000000005</v>
      </c>
      <c r="Q23" s="1">
        <v>26.199558</v>
      </c>
      <c r="R23" s="1">
        <v>34.734473000000001</v>
      </c>
      <c r="S23" s="1">
        <v>0</v>
      </c>
      <c r="T23">
        <v>125</v>
      </c>
      <c r="U23">
        <v>0</v>
      </c>
      <c r="V23" s="1">
        <v>0</v>
      </c>
      <c r="W23" s="1">
        <v>8.8674402999999997E-8</v>
      </c>
      <c r="X23" s="1">
        <v>0</v>
      </c>
      <c r="Y23">
        <v>0</v>
      </c>
      <c r="Z23">
        <v>1</v>
      </c>
      <c r="AA23" s="1">
        <v>3.2158688000000002E-7</v>
      </c>
      <c r="AB23" s="1">
        <v>4.9752102000000001E-8</v>
      </c>
    </row>
    <row r="24" spans="1:28" x14ac:dyDescent="0.45">
      <c r="A24">
        <v>14</v>
      </c>
      <c r="B24">
        <v>5</v>
      </c>
      <c r="C24" s="1">
        <v>3.4092965000000001E-6</v>
      </c>
      <c r="D24" s="1">
        <v>8.7330483000000004E-6</v>
      </c>
      <c r="E24" s="1">
        <v>9.3749366000000004E-6</v>
      </c>
      <c r="F24" s="1">
        <v>2.9810242999999998E-4</v>
      </c>
      <c r="G24" s="1">
        <v>2.9824981000000001E-4</v>
      </c>
      <c r="H24" s="1">
        <v>4.2749810999999999E-5</v>
      </c>
      <c r="I24" s="1">
        <v>1.0191715E-4</v>
      </c>
      <c r="J24" s="1">
        <v>1.2532485999999999E-4</v>
      </c>
      <c r="K24" s="1">
        <v>-1.9800899000000001E-4</v>
      </c>
      <c r="L24" s="1">
        <v>2.5554058000000002E-4</v>
      </c>
      <c r="M24" s="1">
        <v>4.0581408999999999E-8</v>
      </c>
      <c r="N24" s="1">
        <v>354.36883</v>
      </c>
      <c r="O24" s="1">
        <v>541.66666999999995</v>
      </c>
      <c r="P24" s="1">
        <v>896.03548999999998</v>
      </c>
      <c r="Q24" s="1">
        <v>56.076220999999997</v>
      </c>
      <c r="R24" s="1">
        <v>298.29261000000002</v>
      </c>
      <c r="S24" s="1">
        <v>0</v>
      </c>
      <c r="T24">
        <v>2050</v>
      </c>
      <c r="U24">
        <v>0</v>
      </c>
      <c r="V24" s="1">
        <v>0</v>
      </c>
      <c r="W24" s="1">
        <v>8.8674402999999997E-8</v>
      </c>
      <c r="X24" s="1">
        <v>0</v>
      </c>
      <c r="Y24">
        <v>0</v>
      </c>
      <c r="Z24">
        <v>1</v>
      </c>
      <c r="AA24" s="1">
        <v>1.5174378E-6</v>
      </c>
      <c r="AB24" s="1">
        <v>5.1699276000000001E-8</v>
      </c>
    </row>
    <row r="25" spans="1:28" x14ac:dyDescent="0.45">
      <c r="A25">
        <v>15</v>
      </c>
      <c r="B25">
        <v>5</v>
      </c>
      <c r="C25" s="1">
        <v>8.6733621E-6</v>
      </c>
      <c r="D25" s="1">
        <v>-3.8924507999999998E-6</v>
      </c>
      <c r="E25" s="1">
        <v>9.5067546000000007E-6</v>
      </c>
      <c r="F25" s="1">
        <v>2.9809826E-4</v>
      </c>
      <c r="G25" s="1">
        <v>2.9824981000000001E-4</v>
      </c>
      <c r="H25" s="1">
        <v>4.2749810999999999E-5</v>
      </c>
      <c r="I25" s="1">
        <v>9.0926085999999998E-5</v>
      </c>
      <c r="J25" s="1">
        <v>-5.4093630999999998E-5</v>
      </c>
      <c r="K25" s="1">
        <v>2.3263698999999999E-4</v>
      </c>
      <c r="L25" s="1">
        <v>2.5556534000000002E-4</v>
      </c>
      <c r="M25" s="1">
        <v>6.5336155000000003E-8</v>
      </c>
      <c r="N25" s="1">
        <v>71.753485999999995</v>
      </c>
      <c r="O25" s="1">
        <v>583.33333000000005</v>
      </c>
      <c r="P25" s="1">
        <v>655.08681999999999</v>
      </c>
      <c r="Q25" s="1">
        <v>26.463227</v>
      </c>
      <c r="R25" s="1">
        <v>45.290258999999999</v>
      </c>
      <c r="S25" s="1">
        <v>0</v>
      </c>
      <c r="T25">
        <v>449</v>
      </c>
      <c r="U25">
        <v>0</v>
      </c>
      <c r="V25" s="1">
        <v>0</v>
      </c>
      <c r="W25" s="1">
        <v>8.8674402999999997E-8</v>
      </c>
      <c r="X25" s="1">
        <v>0</v>
      </c>
      <c r="Y25">
        <v>0</v>
      </c>
      <c r="Z25">
        <v>1</v>
      </c>
      <c r="AA25" s="1">
        <v>8.0641164E-7</v>
      </c>
      <c r="AB25" s="1">
        <v>5.4209457000000003E-8</v>
      </c>
    </row>
    <row r="26" spans="1:28" x14ac:dyDescent="0.45">
      <c r="A26">
        <v>19</v>
      </c>
      <c r="B26">
        <v>5</v>
      </c>
      <c r="C26" s="1">
        <v>3.8135523E-6</v>
      </c>
      <c r="D26" s="1">
        <v>-3.5632613000000001E-6</v>
      </c>
      <c r="E26" s="1">
        <v>5.2191965000000004E-6</v>
      </c>
      <c r="F26" s="1">
        <v>2.9820413999999998E-4</v>
      </c>
      <c r="G26" s="1">
        <v>2.9824981000000001E-4</v>
      </c>
      <c r="H26" s="1">
        <v>4.2749810999999999E-5</v>
      </c>
      <c r="I26" s="1">
        <v>9.9994713000000002E-5</v>
      </c>
      <c r="J26" s="1">
        <v>-1.3484897E-5</v>
      </c>
      <c r="K26" s="1">
        <v>-2.3477251999999999E-4</v>
      </c>
      <c r="L26" s="1">
        <v>2.5553654000000001E-4</v>
      </c>
      <c r="M26" s="1">
        <v>3.6536184000000003E-8</v>
      </c>
      <c r="N26" s="1">
        <v>536.85897</v>
      </c>
      <c r="O26" s="1">
        <v>750</v>
      </c>
      <c r="P26" s="1">
        <v>1286.8589999999999</v>
      </c>
      <c r="Q26" s="1">
        <v>85.348391000000007</v>
      </c>
      <c r="R26" s="1">
        <v>451.51058999999998</v>
      </c>
      <c r="S26" s="1">
        <v>0</v>
      </c>
      <c r="T26">
        <v>3020</v>
      </c>
      <c r="U26">
        <v>0</v>
      </c>
      <c r="V26" s="1">
        <v>0</v>
      </c>
      <c r="W26" s="1">
        <v>8.8674402999999997E-8</v>
      </c>
      <c r="X26" s="1">
        <v>0</v>
      </c>
      <c r="Y26">
        <v>0</v>
      </c>
      <c r="Z26">
        <v>1</v>
      </c>
      <c r="AA26" s="1">
        <v>1.0444482E-6</v>
      </c>
      <c r="AB26" s="1">
        <v>5.1176932999999997E-8</v>
      </c>
    </row>
    <row r="27" spans="1:28" x14ac:dyDescent="0.45">
      <c r="Z27" t="s">
        <v>95</v>
      </c>
      <c r="AA27" s="1">
        <f>AVERAGE(AA7:AA26)</f>
        <v>2.6411967869999997E-6</v>
      </c>
    </row>
    <row r="28" spans="1:28" x14ac:dyDescent="0.45">
      <c r="Z28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"/>
  <sheetViews>
    <sheetView topLeftCell="P1" workbookViewId="0">
      <selection activeCell="T16" sqref="T16"/>
    </sheetView>
  </sheetViews>
  <sheetFormatPr defaultRowHeight="14.25" x14ac:dyDescent="0.45"/>
  <sheetData>
    <row r="1" spans="1:38" x14ac:dyDescent="0.45">
      <c r="A1" t="s">
        <v>13</v>
      </c>
      <c r="B1">
        <v>20</v>
      </c>
      <c r="C1" t="s">
        <v>14</v>
      </c>
      <c r="D1" s="1">
        <v>1.6200000000000001E-5</v>
      </c>
      <c r="E1" t="s">
        <v>15</v>
      </c>
      <c r="F1" s="1">
        <v>1.0000000000000001E-5</v>
      </c>
      <c r="G1" t="s">
        <v>16</v>
      </c>
      <c r="H1" s="1">
        <v>0.375</v>
      </c>
      <c r="I1" t="s">
        <v>17</v>
      </c>
      <c r="J1" s="1">
        <v>2.5500000000000002E-4</v>
      </c>
      <c r="K1" t="s">
        <v>18</v>
      </c>
      <c r="L1" s="1">
        <v>2.9824981000000001E-4</v>
      </c>
      <c r="M1" t="s">
        <v>19</v>
      </c>
      <c r="N1" s="1">
        <v>5000</v>
      </c>
      <c r="O1" t="s">
        <v>20</v>
      </c>
      <c r="P1">
        <v>1</v>
      </c>
      <c r="Q1" t="s">
        <v>21</v>
      </c>
      <c r="R1" s="1">
        <v>0</v>
      </c>
      <c r="S1" t="s">
        <v>22</v>
      </c>
      <c r="T1">
        <v>0</v>
      </c>
      <c r="U1" t="s">
        <v>23</v>
      </c>
      <c r="V1" s="1">
        <v>0</v>
      </c>
      <c r="W1" t="s">
        <v>24</v>
      </c>
      <c r="X1" s="1">
        <v>0</v>
      </c>
    </row>
    <row r="2" spans="1:38" x14ac:dyDescent="0.45">
      <c r="A2" t="s">
        <v>25</v>
      </c>
      <c r="B2" s="1">
        <v>4.9999999999999998E-7</v>
      </c>
      <c r="C2" t="s">
        <v>26</v>
      </c>
      <c r="D2" s="1">
        <v>6</v>
      </c>
      <c r="E2" t="s">
        <v>27</v>
      </c>
      <c r="F2" s="1">
        <v>1</v>
      </c>
      <c r="G2" t="s">
        <v>28</v>
      </c>
      <c r="H2" s="1">
        <v>-6.5000000000000002E-2</v>
      </c>
      <c r="I2" t="s">
        <v>29</v>
      </c>
      <c r="J2" s="1">
        <v>-7.0000000000000007E-2</v>
      </c>
      <c r="K2" t="s">
        <v>30</v>
      </c>
      <c r="L2" s="1">
        <v>1050</v>
      </c>
      <c r="M2" t="s">
        <v>31</v>
      </c>
      <c r="N2" s="1">
        <v>998</v>
      </c>
      <c r="O2" t="s">
        <v>32</v>
      </c>
      <c r="P2" s="1">
        <v>9.9799999999999997E-4</v>
      </c>
      <c r="Q2" t="s">
        <v>33</v>
      </c>
      <c r="R2" s="1">
        <v>80</v>
      </c>
      <c r="S2" t="s">
        <v>34</v>
      </c>
      <c r="T2" s="1">
        <v>293.2</v>
      </c>
      <c r="U2" t="s">
        <v>35</v>
      </c>
      <c r="V2" s="1">
        <v>1.35</v>
      </c>
      <c r="W2" t="s">
        <v>36</v>
      </c>
      <c r="X2" s="1">
        <v>-1</v>
      </c>
    </row>
    <row r="3" spans="1:38" x14ac:dyDescent="0.45">
      <c r="A3" t="s">
        <v>37</v>
      </c>
      <c r="B3" s="1">
        <v>0.01</v>
      </c>
      <c r="C3" t="s">
        <v>38</v>
      </c>
      <c r="D3" s="1">
        <v>-7.0000000000000007E-2</v>
      </c>
      <c r="E3" t="s">
        <v>39</v>
      </c>
      <c r="F3">
        <v>5</v>
      </c>
      <c r="G3" t="s">
        <v>40</v>
      </c>
      <c r="H3" s="1">
        <v>1.1999999999999999E-7</v>
      </c>
      <c r="I3" t="s">
        <v>41</v>
      </c>
      <c r="J3" s="1">
        <v>5.9999999999999995E-8</v>
      </c>
      <c r="K3" t="s">
        <v>42</v>
      </c>
      <c r="L3" s="1">
        <v>1.9000000000000001E-8</v>
      </c>
      <c r="M3" t="s">
        <v>43</v>
      </c>
      <c r="N3" s="1">
        <v>8.8674402999999997E-8</v>
      </c>
      <c r="O3" t="s">
        <v>44</v>
      </c>
      <c r="P3" s="1">
        <v>5.8450236E-8</v>
      </c>
      <c r="Q3" t="s">
        <v>45</v>
      </c>
      <c r="R3" s="1">
        <v>100</v>
      </c>
      <c r="S3" t="s">
        <v>46</v>
      </c>
      <c r="T3" s="1">
        <v>10</v>
      </c>
      <c r="U3" t="s">
        <v>47</v>
      </c>
      <c r="V3" s="1">
        <v>0.01</v>
      </c>
    </row>
    <row r="4" spans="1:38" x14ac:dyDescent="0.45">
      <c r="A4" t="s">
        <v>48</v>
      </c>
      <c r="B4" s="1">
        <v>7.1699999999999994E-21</v>
      </c>
      <c r="C4" t="s">
        <v>49</v>
      </c>
      <c r="D4" s="1">
        <v>9.9999999999999995E-8</v>
      </c>
      <c r="E4" t="s">
        <v>50</v>
      </c>
      <c r="F4" s="1">
        <v>-2.7E-2</v>
      </c>
      <c r="G4" t="s">
        <v>51</v>
      </c>
      <c r="H4" s="1">
        <v>6E-10</v>
      </c>
      <c r="I4" t="s">
        <v>52</v>
      </c>
      <c r="J4" s="1">
        <v>1.09E-2</v>
      </c>
      <c r="K4" t="s">
        <v>53</v>
      </c>
      <c r="L4" s="1">
        <v>5.4999999999999996E-10</v>
      </c>
      <c r="M4" t="s">
        <v>54</v>
      </c>
      <c r="N4" s="1">
        <v>4300000000</v>
      </c>
      <c r="O4" t="s">
        <v>55</v>
      </c>
      <c r="P4" s="1">
        <v>-2.9000000000000001E-2</v>
      </c>
      <c r="Q4" t="s">
        <v>56</v>
      </c>
      <c r="R4" s="1">
        <v>3.1675490000000001E-8</v>
      </c>
      <c r="S4" t="s">
        <v>57</v>
      </c>
      <c r="T4" s="1">
        <v>0.5</v>
      </c>
      <c r="U4" t="s">
        <v>58</v>
      </c>
      <c r="V4" s="1">
        <v>0.01</v>
      </c>
      <c r="W4" t="s">
        <v>59</v>
      </c>
      <c r="X4" s="1">
        <v>0.1</v>
      </c>
      <c r="Y4" t="s">
        <v>60</v>
      </c>
      <c r="Z4" s="1">
        <v>6.5000000000000003E-20</v>
      </c>
      <c r="AA4" t="s">
        <v>61</v>
      </c>
      <c r="AB4" s="1">
        <v>6.2999999999999997E-20</v>
      </c>
      <c r="AC4" t="s">
        <v>62</v>
      </c>
      <c r="AD4" s="1">
        <v>3.7000000000000001E-20</v>
      </c>
      <c r="AE4" t="s">
        <v>63</v>
      </c>
      <c r="AF4" s="1">
        <v>7.0000000000000001E-20</v>
      </c>
      <c r="AG4" t="s">
        <v>64</v>
      </c>
      <c r="AH4" s="1">
        <v>1.5100000000000001E-19</v>
      </c>
      <c r="AI4" t="s">
        <v>65</v>
      </c>
      <c r="AJ4" s="1">
        <v>1E-8</v>
      </c>
      <c r="AK4" t="s">
        <v>66</v>
      </c>
      <c r="AL4" s="1">
        <v>9.9999999999999995E-8</v>
      </c>
    </row>
    <row r="5" spans="1:38" x14ac:dyDescent="0.45">
      <c r="A5" t="s">
        <v>12</v>
      </c>
    </row>
    <row r="6" spans="1:38" x14ac:dyDescent="0.4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 t="s">
        <v>87</v>
      </c>
      <c r="V6" t="s">
        <v>88</v>
      </c>
      <c r="W6" t="s">
        <v>89</v>
      </c>
      <c r="X6" t="s">
        <v>90</v>
      </c>
      <c r="Y6" t="s">
        <v>91</v>
      </c>
      <c r="Z6" t="s">
        <v>92</v>
      </c>
      <c r="AA6" t="s">
        <v>93</v>
      </c>
      <c r="AB6" t="s">
        <v>94</v>
      </c>
    </row>
    <row r="7" spans="1:38" x14ac:dyDescent="0.45">
      <c r="A7">
        <v>2</v>
      </c>
      <c r="B7">
        <v>1</v>
      </c>
      <c r="C7" s="1">
        <v>1.4522787000000001E-6</v>
      </c>
      <c r="D7" s="1">
        <v>7.0021849000000003E-6</v>
      </c>
      <c r="E7" s="1">
        <v>7.1512032E-6</v>
      </c>
      <c r="F7" s="1">
        <v>2.9816407000000001E-4</v>
      </c>
      <c r="G7" s="1">
        <v>2.9824981000000001E-4</v>
      </c>
      <c r="H7" s="1">
        <v>4.2749810999999999E-5</v>
      </c>
      <c r="I7" s="1">
        <v>1.4731683E-5</v>
      </c>
      <c r="J7" s="1">
        <v>7.2747122E-5</v>
      </c>
      <c r="K7" s="1">
        <v>-2.8886815000000001E-4</v>
      </c>
      <c r="L7" s="1">
        <v>2.9825153000000002E-4</v>
      </c>
      <c r="M7" s="1">
        <v>4.2751532E-5</v>
      </c>
      <c r="N7" s="1">
        <v>92.600185999999994</v>
      </c>
      <c r="O7" s="1">
        <v>41.666666999999997</v>
      </c>
      <c r="P7" s="1">
        <v>134.26685000000001</v>
      </c>
      <c r="Q7" s="1">
        <v>72.795753000000005</v>
      </c>
      <c r="R7" s="1">
        <v>19.804433</v>
      </c>
      <c r="S7" s="1">
        <v>0</v>
      </c>
      <c r="T7">
        <v>1274</v>
      </c>
      <c r="U7">
        <v>0</v>
      </c>
      <c r="V7" s="1">
        <v>0</v>
      </c>
      <c r="W7" s="1">
        <v>8.8674402999999997E-8</v>
      </c>
      <c r="X7" s="1">
        <v>0</v>
      </c>
      <c r="Y7">
        <v>0</v>
      </c>
      <c r="Z7">
        <v>1</v>
      </c>
      <c r="AA7" s="1">
        <v>1.7151338000000001E-6</v>
      </c>
      <c r="AB7" s="1">
        <v>5.8708798999999999E-8</v>
      </c>
    </row>
    <row r="8" spans="1:38" x14ac:dyDescent="0.45">
      <c r="A8">
        <v>5</v>
      </c>
      <c r="B8">
        <v>1</v>
      </c>
      <c r="C8" s="1">
        <v>-1.0150626000000001E-6</v>
      </c>
      <c r="D8" s="1">
        <v>-8.2097231999999998E-6</v>
      </c>
      <c r="E8" s="1">
        <v>8.2722371999999996E-6</v>
      </c>
      <c r="F8" s="1">
        <v>2.9813506999999998E-4</v>
      </c>
      <c r="G8" s="1">
        <v>2.9824981000000001E-4</v>
      </c>
      <c r="H8" s="1">
        <v>4.2749810999999999E-5</v>
      </c>
      <c r="I8" s="1">
        <v>-1.2132677E-5</v>
      </c>
      <c r="J8" s="1">
        <v>-5.1029387999999997E-5</v>
      </c>
      <c r="K8" s="1">
        <v>-2.9360189999999998E-4</v>
      </c>
      <c r="L8" s="1">
        <v>2.9825035999999998E-4</v>
      </c>
      <c r="M8" s="1">
        <v>4.2750361999999999E-5</v>
      </c>
      <c r="N8" s="1">
        <v>50.530959000000003</v>
      </c>
      <c r="O8" s="1">
        <v>166.66667000000001</v>
      </c>
      <c r="P8" s="1">
        <v>217.19763</v>
      </c>
      <c r="Q8" s="1">
        <v>50.530959000000003</v>
      </c>
      <c r="R8" s="1">
        <v>0</v>
      </c>
      <c r="S8" s="1">
        <v>0</v>
      </c>
      <c r="T8">
        <v>0</v>
      </c>
      <c r="U8">
        <v>0</v>
      </c>
      <c r="V8" s="1">
        <v>0</v>
      </c>
      <c r="W8" s="1">
        <v>8.8674402999999997E-8</v>
      </c>
      <c r="X8" s="1">
        <v>-1</v>
      </c>
      <c r="Y8">
        <v>0</v>
      </c>
      <c r="Z8">
        <v>1</v>
      </c>
      <c r="AA8" s="1">
        <v>0</v>
      </c>
      <c r="AB8" s="1">
        <v>0</v>
      </c>
    </row>
    <row r="9" spans="1:38" x14ac:dyDescent="0.45">
      <c r="A9">
        <v>8</v>
      </c>
      <c r="B9">
        <v>1</v>
      </c>
      <c r="C9" s="1">
        <v>-9.6721024000000003E-6</v>
      </c>
      <c r="D9" s="1">
        <v>-3.1169115999999998E-7</v>
      </c>
      <c r="E9" s="1">
        <v>9.6771233000000003E-6</v>
      </c>
      <c r="F9" s="1">
        <v>2.9809277999999999E-4</v>
      </c>
      <c r="G9" s="1">
        <v>2.9824981000000001E-4</v>
      </c>
      <c r="H9" s="1">
        <v>4.2749810999999999E-5</v>
      </c>
      <c r="I9" s="1">
        <v>-8.5539819000000003E-5</v>
      </c>
      <c r="J9" s="1">
        <v>2.6342752999999999E-5</v>
      </c>
      <c r="K9" s="1">
        <v>-2.8450361000000003E-4</v>
      </c>
      <c r="L9" s="1">
        <v>2.9825039999999999E-4</v>
      </c>
      <c r="M9" s="1">
        <v>4.2750404000000001E-5</v>
      </c>
      <c r="N9" s="1">
        <v>48.339542999999999</v>
      </c>
      <c r="O9" s="1">
        <v>291.66667000000001</v>
      </c>
      <c r="P9" s="1">
        <v>340.00621000000001</v>
      </c>
      <c r="Q9" s="1">
        <v>48.339542999999999</v>
      </c>
      <c r="R9" s="1">
        <v>0</v>
      </c>
      <c r="S9" s="1">
        <v>0</v>
      </c>
      <c r="T9">
        <v>0</v>
      </c>
      <c r="U9">
        <v>0</v>
      </c>
      <c r="V9" s="1">
        <v>0</v>
      </c>
      <c r="W9" s="1">
        <v>8.8674402999999997E-8</v>
      </c>
      <c r="X9" s="1">
        <v>-1</v>
      </c>
      <c r="Y9">
        <v>0</v>
      </c>
      <c r="Z9">
        <v>1</v>
      </c>
      <c r="AA9" s="1">
        <v>0</v>
      </c>
      <c r="AB9" s="1">
        <v>0</v>
      </c>
    </row>
    <row r="10" spans="1:38" x14ac:dyDescent="0.45">
      <c r="A10">
        <v>9</v>
      </c>
      <c r="B10">
        <v>1</v>
      </c>
      <c r="C10" s="1">
        <v>-6.9930311000000004E-6</v>
      </c>
      <c r="D10" s="1">
        <v>7.0908198999999997E-6</v>
      </c>
      <c r="E10" s="1">
        <v>9.9590265999999998E-6</v>
      </c>
      <c r="F10" s="1">
        <v>2.9808348999999998E-4</v>
      </c>
      <c r="G10" s="1">
        <v>2.9824981000000001E-4</v>
      </c>
      <c r="H10" s="1">
        <v>4.2749810999999999E-5</v>
      </c>
      <c r="I10" s="1">
        <v>-3.8657586999999998E-5</v>
      </c>
      <c r="J10" s="1">
        <v>4.6564287000000002E-5</v>
      </c>
      <c r="K10" s="1">
        <v>-2.9204595E-4</v>
      </c>
      <c r="L10" s="1">
        <v>2.9825069999999998E-4</v>
      </c>
      <c r="M10" s="1">
        <v>4.2750699999999997E-5</v>
      </c>
      <c r="N10" s="1">
        <v>51.915346999999997</v>
      </c>
      <c r="O10" s="1">
        <v>333.33332999999999</v>
      </c>
      <c r="P10" s="1">
        <v>385.24867999999998</v>
      </c>
      <c r="Q10" s="1">
        <v>51.915346999999997</v>
      </c>
      <c r="R10" s="1">
        <v>0</v>
      </c>
      <c r="S10" s="1">
        <v>0</v>
      </c>
      <c r="T10">
        <v>0</v>
      </c>
      <c r="U10">
        <v>0</v>
      </c>
      <c r="V10" s="1">
        <v>0</v>
      </c>
      <c r="W10" s="1">
        <v>8.8674402999999997E-8</v>
      </c>
      <c r="X10" s="1">
        <v>-1</v>
      </c>
      <c r="Y10">
        <v>0</v>
      </c>
      <c r="Z10">
        <v>1</v>
      </c>
      <c r="AA10" s="1">
        <v>0</v>
      </c>
      <c r="AB10" s="1">
        <v>0</v>
      </c>
    </row>
    <row r="11" spans="1:38" x14ac:dyDescent="0.45">
      <c r="A11">
        <v>15</v>
      </c>
      <c r="B11">
        <v>1</v>
      </c>
      <c r="C11" s="1">
        <v>1.6705988E-6</v>
      </c>
      <c r="D11" s="1">
        <v>3.6525379E-6</v>
      </c>
      <c r="E11" s="1">
        <v>4.0164577999999998E-6</v>
      </c>
      <c r="F11" s="1">
        <v>2.9822277000000002E-4</v>
      </c>
      <c r="G11" s="1">
        <v>2.9824981000000001E-4</v>
      </c>
      <c r="H11" s="1">
        <v>4.2749810999999999E-5</v>
      </c>
      <c r="I11" s="1">
        <v>4.7830078000000001E-5</v>
      </c>
      <c r="J11" s="1">
        <v>4.2923658000000002E-5</v>
      </c>
      <c r="K11" s="1">
        <v>-2.9124547E-4</v>
      </c>
      <c r="L11" s="1">
        <v>2.9825171000000001E-4</v>
      </c>
      <c r="M11" s="1">
        <v>4.2751711999999999E-5</v>
      </c>
      <c r="N11" s="1">
        <v>74.246441000000004</v>
      </c>
      <c r="O11" s="1">
        <v>583.33333000000005</v>
      </c>
      <c r="P11" s="1">
        <v>657.57977000000005</v>
      </c>
      <c r="Q11" s="1">
        <v>74.246441000000004</v>
      </c>
      <c r="R11" s="1">
        <v>0</v>
      </c>
      <c r="S11" s="1">
        <v>0</v>
      </c>
      <c r="T11">
        <v>0</v>
      </c>
      <c r="U11">
        <v>0</v>
      </c>
      <c r="V11" s="1">
        <v>0</v>
      </c>
      <c r="W11" s="1">
        <v>8.8674402999999997E-8</v>
      </c>
      <c r="X11" s="1">
        <v>-1</v>
      </c>
      <c r="Y11">
        <v>0</v>
      </c>
      <c r="Z11">
        <v>1</v>
      </c>
      <c r="AA11" s="1">
        <v>0</v>
      </c>
      <c r="AB11" s="1">
        <v>0</v>
      </c>
    </row>
    <row r="12" spans="1:38" x14ac:dyDescent="0.45">
      <c r="A12">
        <v>19</v>
      </c>
      <c r="B12">
        <v>1</v>
      </c>
      <c r="C12" s="1">
        <v>6.0215611E-6</v>
      </c>
      <c r="D12" s="1">
        <v>-5.7190428E-6</v>
      </c>
      <c r="E12" s="1">
        <v>8.3046161000000005E-6</v>
      </c>
      <c r="F12" s="1">
        <v>2.9813417E-4</v>
      </c>
      <c r="G12" s="1">
        <v>2.9824981000000001E-4</v>
      </c>
      <c r="H12" s="1">
        <v>4.2749810999999999E-5</v>
      </c>
      <c r="I12" s="1">
        <v>1.6028343000000001E-5</v>
      </c>
      <c r="J12" s="1">
        <v>-1.5396842E-5</v>
      </c>
      <c r="K12" s="1">
        <v>-2.9742216E-4</v>
      </c>
      <c r="L12" s="1">
        <v>2.9825141999999998E-4</v>
      </c>
      <c r="M12" s="1">
        <v>4.2751421999999999E-5</v>
      </c>
      <c r="N12" s="1">
        <v>83.497423999999995</v>
      </c>
      <c r="O12" s="1">
        <v>750</v>
      </c>
      <c r="P12" s="1">
        <v>833.49742000000003</v>
      </c>
      <c r="Q12" s="1">
        <v>83.497423999999995</v>
      </c>
      <c r="R12" s="1">
        <v>0</v>
      </c>
      <c r="S12" s="1">
        <v>0</v>
      </c>
      <c r="T12">
        <v>0</v>
      </c>
      <c r="U12">
        <v>0</v>
      </c>
      <c r="V12" s="1">
        <v>0</v>
      </c>
      <c r="W12" s="1">
        <v>8.8674402999999997E-8</v>
      </c>
      <c r="X12" s="1">
        <v>-1</v>
      </c>
      <c r="Y12">
        <v>0</v>
      </c>
      <c r="Z12">
        <v>1</v>
      </c>
      <c r="AA12" s="1">
        <v>0</v>
      </c>
      <c r="AB12" s="1">
        <v>0</v>
      </c>
    </row>
    <row r="13" spans="1:38" x14ac:dyDescent="0.45">
      <c r="A13">
        <v>1</v>
      </c>
      <c r="B13">
        <v>5</v>
      </c>
      <c r="C13" s="1">
        <v>-6.0338842000000002E-6</v>
      </c>
      <c r="D13" s="1">
        <v>3.6490811E-6</v>
      </c>
      <c r="E13" s="1">
        <v>7.0514928000000003E-6</v>
      </c>
      <c r="F13" s="1">
        <v>2.9816644000000002E-4</v>
      </c>
      <c r="G13" s="1">
        <v>2.9824981000000001E-4</v>
      </c>
      <c r="H13" s="1">
        <v>4.2749810999999999E-5</v>
      </c>
      <c r="I13" s="1">
        <v>-2.5051615E-4</v>
      </c>
      <c r="J13" s="1">
        <v>-4.8973498999999999E-5</v>
      </c>
      <c r="K13" s="1">
        <v>1.1924713999999999E-5</v>
      </c>
      <c r="L13" s="1">
        <v>2.5553658000000001E-4</v>
      </c>
      <c r="M13" s="1">
        <v>3.6584307999999997E-8</v>
      </c>
      <c r="N13" s="1">
        <v>209.92876999999999</v>
      </c>
      <c r="O13" s="1">
        <v>0</v>
      </c>
      <c r="P13" s="1">
        <v>209.92876999999999</v>
      </c>
      <c r="Q13" s="1">
        <v>42.484985999999999</v>
      </c>
      <c r="R13" s="1">
        <v>167.44379000000001</v>
      </c>
      <c r="S13" s="1">
        <v>0</v>
      </c>
      <c r="T13">
        <v>1953</v>
      </c>
      <c r="U13">
        <v>0</v>
      </c>
      <c r="V13" s="1">
        <v>0</v>
      </c>
      <c r="W13" s="1">
        <v>8.8674402999999997E-8</v>
      </c>
      <c r="X13" s="1">
        <v>0</v>
      </c>
      <c r="Y13">
        <v>0</v>
      </c>
      <c r="Z13">
        <v>1</v>
      </c>
      <c r="AA13" s="1">
        <v>1.4066651E-6</v>
      </c>
      <c r="AB13" s="1">
        <v>5.0085799000000001E-8</v>
      </c>
    </row>
    <row r="14" spans="1:38" x14ac:dyDescent="0.45">
      <c r="A14">
        <v>3</v>
      </c>
      <c r="B14">
        <v>5</v>
      </c>
      <c r="C14" s="1">
        <v>8.3431979E-7</v>
      </c>
      <c r="D14" s="1">
        <v>-1.6218023999999999E-6</v>
      </c>
      <c r="E14" s="1">
        <v>1.8238236000000001E-6</v>
      </c>
      <c r="F14" s="1">
        <v>2.9824422999999997E-4</v>
      </c>
      <c r="G14" s="1">
        <v>2.9824981000000001E-4</v>
      </c>
      <c r="H14" s="1">
        <v>4.2749810999999999E-5</v>
      </c>
      <c r="I14" s="1">
        <v>4.8209647000000002E-5</v>
      </c>
      <c r="J14" s="1">
        <v>-5.2746427999999997E-5</v>
      </c>
      <c r="K14" s="1">
        <v>2.4535532000000002E-4</v>
      </c>
      <c r="L14" s="1">
        <v>2.5554958E-4</v>
      </c>
      <c r="M14" s="1">
        <v>4.9582283000000001E-8</v>
      </c>
      <c r="N14" s="1">
        <v>59.440086000000001</v>
      </c>
      <c r="O14" s="1">
        <v>83.333332999999996</v>
      </c>
      <c r="P14" s="1">
        <v>142.77341999999999</v>
      </c>
      <c r="Q14" s="1">
        <v>32.392097999999997</v>
      </c>
      <c r="R14" s="1">
        <v>27.047989000000001</v>
      </c>
      <c r="S14" s="1">
        <v>0</v>
      </c>
      <c r="T14">
        <v>829</v>
      </c>
      <c r="U14">
        <v>0</v>
      </c>
      <c r="V14" s="1">
        <v>0</v>
      </c>
      <c r="W14" s="1">
        <v>8.8674402999999997E-8</v>
      </c>
      <c r="X14" s="1">
        <v>0</v>
      </c>
      <c r="Y14">
        <v>0</v>
      </c>
      <c r="Z14">
        <v>1</v>
      </c>
      <c r="AA14" s="1">
        <v>6.9463352000000003E-7</v>
      </c>
      <c r="AB14" s="1">
        <v>5.0871446000000003E-8</v>
      </c>
    </row>
    <row r="15" spans="1:38" x14ac:dyDescent="0.45">
      <c r="A15">
        <v>4</v>
      </c>
      <c r="B15">
        <v>5</v>
      </c>
      <c r="C15" s="1">
        <v>8.6729410000000001E-6</v>
      </c>
      <c r="D15" s="1">
        <v>-4.1013931000000002E-6</v>
      </c>
      <c r="E15" s="1">
        <v>9.5938174000000008E-6</v>
      </c>
      <c r="F15" s="1">
        <v>2.9809546999999998E-4</v>
      </c>
      <c r="G15" s="1">
        <v>2.9824981000000001E-4</v>
      </c>
      <c r="H15" s="1">
        <v>4.2749810999999999E-5</v>
      </c>
      <c r="I15" s="1">
        <v>1.5702142E-4</v>
      </c>
      <c r="J15" s="1">
        <v>-7.4725335999999999E-5</v>
      </c>
      <c r="K15" s="1">
        <v>1.8728709999999999E-4</v>
      </c>
      <c r="L15" s="1">
        <v>2.5557006999999999E-4</v>
      </c>
      <c r="M15" s="1">
        <v>7.0071254000000001E-8</v>
      </c>
      <c r="N15" s="1">
        <v>69.386641999999995</v>
      </c>
      <c r="O15" s="1">
        <v>125</v>
      </c>
      <c r="P15" s="1">
        <v>194.38664</v>
      </c>
      <c r="Q15" s="1">
        <v>31.749144999999999</v>
      </c>
      <c r="R15" s="1">
        <v>37.637497000000003</v>
      </c>
      <c r="S15" s="1">
        <v>0</v>
      </c>
      <c r="T15">
        <v>576</v>
      </c>
      <c r="U15">
        <v>0</v>
      </c>
      <c r="V15" s="1">
        <v>0</v>
      </c>
      <c r="W15" s="1">
        <v>8.8674402999999997E-8</v>
      </c>
      <c r="X15" s="1">
        <v>0</v>
      </c>
      <c r="Y15">
        <v>0</v>
      </c>
      <c r="Z15">
        <v>1</v>
      </c>
      <c r="AA15" s="1">
        <v>9.709657900000001E-7</v>
      </c>
      <c r="AB15" s="1">
        <v>4.9953399000000002E-8</v>
      </c>
    </row>
    <row r="16" spans="1:38" x14ac:dyDescent="0.45">
      <c r="A16">
        <v>6</v>
      </c>
      <c r="B16">
        <v>5</v>
      </c>
      <c r="C16" s="1">
        <v>5.3298956999999996E-6</v>
      </c>
      <c r="D16" s="1">
        <v>3.8396696999999996E-6</v>
      </c>
      <c r="E16" s="1">
        <v>6.5689306999999999E-6</v>
      </c>
      <c r="F16" s="1">
        <v>2.9817746000000001E-4</v>
      </c>
      <c r="G16" s="1">
        <v>2.9824981000000001E-4</v>
      </c>
      <c r="H16" s="1">
        <v>4.2749810999999999E-5</v>
      </c>
      <c r="I16" s="1">
        <v>4.9379643000000002E-5</v>
      </c>
      <c r="J16" s="1">
        <v>5.5395039999999997E-5</v>
      </c>
      <c r="K16" s="1">
        <v>2.4452460999999998E-4</v>
      </c>
      <c r="L16" s="1">
        <v>2.5553716999999999E-4</v>
      </c>
      <c r="M16" s="1">
        <v>3.7167172E-8</v>
      </c>
      <c r="N16" s="1">
        <v>27.993424999999998</v>
      </c>
      <c r="O16" s="1">
        <v>208.33332999999999</v>
      </c>
      <c r="P16" s="1">
        <v>236.32676000000001</v>
      </c>
      <c r="Q16" s="1">
        <v>23.773114</v>
      </c>
      <c r="R16" s="1">
        <v>4.2203109999999997</v>
      </c>
      <c r="S16" s="1">
        <v>0</v>
      </c>
      <c r="T16">
        <v>177</v>
      </c>
      <c r="U16">
        <v>0</v>
      </c>
      <c r="V16" s="1">
        <v>0</v>
      </c>
      <c r="W16" s="1">
        <v>8.8674402999999997E-8</v>
      </c>
      <c r="X16" s="1">
        <v>0</v>
      </c>
      <c r="Y16">
        <v>0</v>
      </c>
      <c r="Z16">
        <v>1</v>
      </c>
      <c r="AA16" s="1">
        <v>2.1374610000000001E-5</v>
      </c>
      <c r="AB16" s="1">
        <v>5.032242E-8</v>
      </c>
    </row>
    <row r="17" spans="1:28" x14ac:dyDescent="0.45">
      <c r="A17">
        <v>7</v>
      </c>
      <c r="B17">
        <v>5</v>
      </c>
      <c r="C17" s="1">
        <v>-6.5423195E-6</v>
      </c>
      <c r="D17" s="1">
        <v>4.8947504999999997E-6</v>
      </c>
      <c r="E17" s="1">
        <v>8.1707114999999993E-6</v>
      </c>
      <c r="F17" s="1">
        <v>2.9813787000000002E-4</v>
      </c>
      <c r="G17" s="1">
        <v>2.9824981000000001E-4</v>
      </c>
      <c r="H17" s="1">
        <v>4.2749810999999999E-5</v>
      </c>
      <c r="I17" s="1">
        <v>-6.8356201000000004E-5</v>
      </c>
      <c r="J17" s="1">
        <v>5.4449768999999997E-5</v>
      </c>
      <c r="K17" s="1">
        <v>2.4013016999999999E-4</v>
      </c>
      <c r="L17" s="1">
        <v>2.5553833999999997E-4</v>
      </c>
      <c r="M17" s="1">
        <v>3.8342878000000002E-8</v>
      </c>
      <c r="N17" s="1">
        <v>77.046307999999996</v>
      </c>
      <c r="O17" s="1">
        <v>250</v>
      </c>
      <c r="P17" s="1">
        <v>327.04631000000001</v>
      </c>
      <c r="Q17" s="1">
        <v>28.593661999999998</v>
      </c>
      <c r="R17" s="1">
        <v>48.452646000000001</v>
      </c>
      <c r="S17" s="1">
        <v>0</v>
      </c>
      <c r="T17">
        <v>974</v>
      </c>
      <c r="U17">
        <v>0</v>
      </c>
      <c r="V17" s="1">
        <v>0</v>
      </c>
      <c r="W17" s="1">
        <v>8.8674402999999997E-8</v>
      </c>
      <c r="X17" s="1">
        <v>0</v>
      </c>
      <c r="Y17">
        <v>0</v>
      </c>
      <c r="Z17">
        <v>1</v>
      </c>
      <c r="AA17" s="1">
        <v>6.3958040000000004E-7</v>
      </c>
      <c r="AB17" s="1">
        <v>5.2306333000000002E-8</v>
      </c>
    </row>
    <row r="18" spans="1:28" x14ac:dyDescent="0.45">
      <c r="A18">
        <v>10</v>
      </c>
      <c r="B18">
        <v>5</v>
      </c>
      <c r="C18" s="1">
        <v>-1.5020594000000001E-6</v>
      </c>
      <c r="D18" s="1">
        <v>-7.3619756000000004E-6</v>
      </c>
      <c r="E18" s="1">
        <v>7.5136453999999999E-6</v>
      </c>
      <c r="F18" s="1">
        <v>2.9815514999999998E-4</v>
      </c>
      <c r="G18" s="1">
        <v>2.9824981000000001E-4</v>
      </c>
      <c r="H18" s="1">
        <v>4.2749810999999999E-5</v>
      </c>
      <c r="I18" s="1">
        <v>6.2938075000000001E-7</v>
      </c>
      <c r="J18" s="1">
        <v>-8.5172924999999994E-5</v>
      </c>
      <c r="K18" s="1">
        <v>2.4092334999999999E-4</v>
      </c>
      <c r="L18" s="1">
        <v>2.5553647000000002E-4</v>
      </c>
      <c r="M18" s="1">
        <v>3.6465505000000001E-8</v>
      </c>
      <c r="N18" s="1">
        <v>41.501736000000001</v>
      </c>
      <c r="O18" s="1">
        <v>375</v>
      </c>
      <c r="P18" s="1">
        <v>416.50173999999998</v>
      </c>
      <c r="Q18" s="1">
        <v>24.840630999999998</v>
      </c>
      <c r="R18" s="1">
        <v>16.661104999999999</v>
      </c>
      <c r="S18" s="1">
        <v>0</v>
      </c>
      <c r="T18">
        <v>589</v>
      </c>
      <c r="U18">
        <v>0</v>
      </c>
      <c r="V18" s="1">
        <v>0</v>
      </c>
      <c r="W18" s="1">
        <v>8.8674402999999997E-8</v>
      </c>
      <c r="X18" s="1">
        <v>0</v>
      </c>
      <c r="Y18">
        <v>0</v>
      </c>
      <c r="Z18">
        <v>1</v>
      </c>
      <c r="AA18" s="1">
        <v>1.0427254E-6</v>
      </c>
      <c r="AB18" s="1">
        <v>5.0307447000000002E-8</v>
      </c>
    </row>
    <row r="19" spans="1:28" x14ac:dyDescent="0.45">
      <c r="A19">
        <v>11</v>
      </c>
      <c r="B19">
        <v>5</v>
      </c>
      <c r="C19" s="1">
        <v>3.8394625000000002E-6</v>
      </c>
      <c r="D19" s="1">
        <v>5.6934826000000002E-6</v>
      </c>
      <c r="E19" s="1">
        <v>6.8671111999999998E-6</v>
      </c>
      <c r="F19" s="1">
        <v>2.9817074000000002E-4</v>
      </c>
      <c r="G19" s="1">
        <v>2.9824981000000001E-4</v>
      </c>
      <c r="H19" s="1">
        <v>4.2749810999999999E-5</v>
      </c>
      <c r="I19" s="1">
        <v>6.3689083E-5</v>
      </c>
      <c r="J19" s="1">
        <v>1.3570345E-4</v>
      </c>
      <c r="K19" s="1">
        <v>2.0695180999999999E-4</v>
      </c>
      <c r="L19" s="1">
        <v>2.5554016999999998E-4</v>
      </c>
      <c r="M19" s="1">
        <v>4.0169586999999999E-8</v>
      </c>
      <c r="N19" s="1">
        <v>146.43818999999999</v>
      </c>
      <c r="O19" s="1">
        <v>416.66667000000001</v>
      </c>
      <c r="P19" s="1">
        <v>563.10486000000003</v>
      </c>
      <c r="Q19" s="1">
        <v>30.671714000000001</v>
      </c>
      <c r="R19" s="1">
        <v>115.76648</v>
      </c>
      <c r="S19" s="1">
        <v>0</v>
      </c>
      <c r="T19">
        <v>2140</v>
      </c>
      <c r="U19">
        <v>0</v>
      </c>
      <c r="V19" s="1">
        <v>0</v>
      </c>
      <c r="W19" s="1">
        <v>8.8674402999999997E-8</v>
      </c>
      <c r="X19" s="1">
        <v>0</v>
      </c>
      <c r="Y19">
        <v>0</v>
      </c>
      <c r="Z19">
        <v>1</v>
      </c>
      <c r="AA19" s="1">
        <v>7.6918979E-7</v>
      </c>
      <c r="AB19" s="1">
        <v>5.0175503999999999E-8</v>
      </c>
    </row>
    <row r="20" spans="1:28" x14ac:dyDescent="0.45">
      <c r="A20">
        <v>12</v>
      </c>
      <c r="B20">
        <v>5</v>
      </c>
      <c r="C20" s="1">
        <v>-3.4464545000000001E-6</v>
      </c>
      <c r="D20" s="1">
        <v>4.2365926999999996E-6</v>
      </c>
      <c r="E20" s="1">
        <v>5.4613887E-6</v>
      </c>
      <c r="F20" s="1">
        <v>2.9819980000000002E-4</v>
      </c>
      <c r="G20" s="1">
        <v>2.9824981000000001E-4</v>
      </c>
      <c r="H20" s="1">
        <v>4.2749810999999999E-5</v>
      </c>
      <c r="I20" s="1">
        <v>-7.0695536999999995E-5</v>
      </c>
      <c r="J20" s="1">
        <v>8.2597165999999996E-5</v>
      </c>
      <c r="K20" s="1">
        <v>2.3126740000000001E-4</v>
      </c>
      <c r="L20" s="1">
        <v>2.5554796000000002E-4</v>
      </c>
      <c r="M20" s="1">
        <v>4.7962797000000002E-8</v>
      </c>
      <c r="N20" s="1">
        <v>195.24349000000001</v>
      </c>
      <c r="O20" s="1">
        <v>458.33332999999999</v>
      </c>
      <c r="P20" s="1">
        <v>653.57682999999997</v>
      </c>
      <c r="Q20" s="1">
        <v>23.744513999999999</v>
      </c>
      <c r="R20" s="1">
        <v>171.49897999999999</v>
      </c>
      <c r="S20" s="1">
        <v>0</v>
      </c>
      <c r="T20">
        <v>2157</v>
      </c>
      <c r="U20">
        <v>0</v>
      </c>
      <c r="V20" s="1">
        <v>0</v>
      </c>
      <c r="W20" s="1">
        <v>8.8674402999999997E-8</v>
      </c>
      <c r="X20" s="1">
        <v>0</v>
      </c>
      <c r="Y20">
        <v>0</v>
      </c>
      <c r="Z20">
        <v>1</v>
      </c>
      <c r="AA20" s="1">
        <v>4.8349893000000004E-7</v>
      </c>
      <c r="AB20" s="1">
        <v>5.0554620000000003E-8</v>
      </c>
    </row>
    <row r="21" spans="1:28" x14ac:dyDescent="0.45">
      <c r="A21">
        <v>13</v>
      </c>
      <c r="B21">
        <v>5</v>
      </c>
      <c r="C21" s="1">
        <v>6.2718566000000002E-6</v>
      </c>
      <c r="D21" s="1">
        <v>-1.4846184999999999E-6</v>
      </c>
      <c r="E21" s="1">
        <v>6.4451746999999998E-6</v>
      </c>
      <c r="F21" s="1">
        <v>2.9818016000000001E-4</v>
      </c>
      <c r="G21" s="1">
        <v>2.9824981000000001E-4</v>
      </c>
      <c r="H21" s="1">
        <v>4.2749810999999999E-5</v>
      </c>
      <c r="I21" s="1">
        <v>1.2529727E-4</v>
      </c>
      <c r="J21" s="1">
        <v>-1.0277818E-4</v>
      </c>
      <c r="K21" s="1">
        <v>1.9758268000000001E-4</v>
      </c>
      <c r="L21" s="1">
        <v>2.5554191999999998E-4</v>
      </c>
      <c r="M21" s="1">
        <v>4.1923118000000002E-8</v>
      </c>
      <c r="N21" s="1">
        <v>89.474998999999997</v>
      </c>
      <c r="O21" s="1">
        <v>500</v>
      </c>
      <c r="P21" s="1">
        <v>589.47500000000002</v>
      </c>
      <c r="Q21" s="1">
        <v>31.355219999999999</v>
      </c>
      <c r="R21" s="1">
        <v>58.119779999999999</v>
      </c>
      <c r="S21" s="1">
        <v>0</v>
      </c>
      <c r="T21">
        <v>1921</v>
      </c>
      <c r="U21">
        <v>0</v>
      </c>
      <c r="V21" s="1">
        <v>0</v>
      </c>
      <c r="W21" s="1">
        <v>8.8674402999999997E-8</v>
      </c>
      <c r="X21" s="1">
        <v>0</v>
      </c>
      <c r="Y21">
        <v>0</v>
      </c>
      <c r="Z21">
        <v>1</v>
      </c>
      <c r="AA21" s="1">
        <v>1.0574443E-6</v>
      </c>
      <c r="AB21" s="1">
        <v>5.5599476E-8</v>
      </c>
    </row>
    <row r="22" spans="1:28" x14ac:dyDescent="0.45">
      <c r="A22">
        <v>14</v>
      </c>
      <c r="B22">
        <v>5</v>
      </c>
      <c r="C22" s="1">
        <v>-1.1173678E-8</v>
      </c>
      <c r="D22" s="1">
        <v>-7.142915E-6</v>
      </c>
      <c r="E22" s="1">
        <v>7.1429237999999998E-6</v>
      </c>
      <c r="F22" s="1">
        <v>2.9816426E-4</v>
      </c>
      <c r="G22" s="1">
        <v>2.9824981000000001E-4</v>
      </c>
      <c r="H22" s="1">
        <v>4.2749810999999999E-5</v>
      </c>
      <c r="I22" s="1">
        <v>3.8146185000000003E-5</v>
      </c>
      <c r="J22" s="1">
        <v>-1.2318057E-4</v>
      </c>
      <c r="K22" s="1">
        <v>2.2064717E-4</v>
      </c>
      <c r="L22" s="1">
        <v>2.5556557000000002E-4</v>
      </c>
      <c r="M22" s="1">
        <v>6.5567452999999996E-8</v>
      </c>
      <c r="N22" s="1">
        <v>59.934756999999998</v>
      </c>
      <c r="O22" s="1">
        <v>541.66666999999995</v>
      </c>
      <c r="P22" s="1">
        <v>601.60141999999996</v>
      </c>
      <c r="Q22" s="1">
        <v>28.835494000000001</v>
      </c>
      <c r="R22" s="1">
        <v>31.099263000000001</v>
      </c>
      <c r="S22" s="1">
        <v>0</v>
      </c>
      <c r="T22">
        <v>240</v>
      </c>
      <c r="U22">
        <v>0</v>
      </c>
      <c r="V22" s="1">
        <v>0</v>
      </c>
      <c r="W22" s="1">
        <v>8.8674402999999997E-8</v>
      </c>
      <c r="X22" s="1">
        <v>0</v>
      </c>
      <c r="Y22">
        <v>0</v>
      </c>
      <c r="Z22">
        <v>1</v>
      </c>
      <c r="AA22" s="1">
        <v>9.6630833999999994E-7</v>
      </c>
      <c r="AB22" s="1">
        <v>5.1198878000000002E-8</v>
      </c>
    </row>
    <row r="23" spans="1:28" x14ac:dyDescent="0.45">
      <c r="A23">
        <v>16</v>
      </c>
      <c r="B23">
        <v>5</v>
      </c>
      <c r="C23" s="1">
        <v>-1.7643246000000001E-6</v>
      </c>
      <c r="D23" s="1">
        <v>6.2753445999999999E-6</v>
      </c>
      <c r="E23" s="1">
        <v>6.5186495000000001E-6</v>
      </c>
      <c r="F23" s="1">
        <v>2.9817857000000002E-4</v>
      </c>
      <c r="G23" s="1">
        <v>2.9824981000000001E-4</v>
      </c>
      <c r="H23" s="1">
        <v>4.2749810999999999E-5</v>
      </c>
      <c r="I23" s="1">
        <v>-5.9966226E-5</v>
      </c>
      <c r="J23" s="1">
        <v>1.3376874000000001E-4</v>
      </c>
      <c r="K23" s="1">
        <v>2.0931003999999999E-4</v>
      </c>
      <c r="L23" s="1">
        <v>2.5554005000000003E-4</v>
      </c>
      <c r="M23" s="1">
        <v>4.0047589E-8</v>
      </c>
      <c r="N23" s="1">
        <v>50.332478000000002</v>
      </c>
      <c r="O23" s="1">
        <v>625</v>
      </c>
      <c r="P23" s="1">
        <v>675.33248000000003</v>
      </c>
      <c r="Q23" s="1">
        <v>44.603521000000001</v>
      </c>
      <c r="R23" s="1">
        <v>5.7289572</v>
      </c>
      <c r="S23" s="1">
        <v>0</v>
      </c>
      <c r="T23">
        <v>416</v>
      </c>
      <c r="U23">
        <v>0</v>
      </c>
      <c r="V23" s="1">
        <v>0</v>
      </c>
      <c r="W23" s="1">
        <v>8.8674402999999997E-8</v>
      </c>
      <c r="X23" s="1">
        <v>0</v>
      </c>
      <c r="Y23">
        <v>0</v>
      </c>
      <c r="Z23">
        <v>1</v>
      </c>
      <c r="AA23" s="1">
        <v>1.8969105999999999E-6</v>
      </c>
      <c r="AB23" s="1">
        <v>5.3392413000000002E-8</v>
      </c>
    </row>
    <row r="24" spans="1:28" x14ac:dyDescent="0.45">
      <c r="A24">
        <v>17</v>
      </c>
      <c r="B24">
        <v>5</v>
      </c>
      <c r="C24" s="1">
        <v>-1.6079734999999999E-6</v>
      </c>
      <c r="D24" s="1">
        <v>-9.3894663000000006E-6</v>
      </c>
      <c r="E24" s="1">
        <v>9.5261564999999997E-6</v>
      </c>
      <c r="F24" s="1">
        <v>2.9809763999999998E-4</v>
      </c>
      <c r="G24" s="1">
        <v>2.9824981000000001E-4</v>
      </c>
      <c r="H24" s="1">
        <v>4.2749810999999999E-5</v>
      </c>
      <c r="I24" s="1">
        <v>-6.4064007000000001E-5</v>
      </c>
      <c r="J24" s="1">
        <v>-2.0972649E-4</v>
      </c>
      <c r="K24" s="1">
        <v>1.3119788999999999E-4</v>
      </c>
      <c r="L24" s="1">
        <v>2.5554311E-4</v>
      </c>
      <c r="M24" s="1">
        <v>4.3114875999999999E-8</v>
      </c>
      <c r="N24" s="1">
        <v>68.937128999999999</v>
      </c>
      <c r="O24" s="1">
        <v>666.66666999999995</v>
      </c>
      <c r="P24" s="1">
        <v>735.60379999999998</v>
      </c>
      <c r="Q24" s="1">
        <v>38.822927</v>
      </c>
      <c r="R24" s="1">
        <v>30.114203</v>
      </c>
      <c r="S24" s="1">
        <v>0</v>
      </c>
      <c r="T24">
        <v>364</v>
      </c>
      <c r="U24">
        <v>0</v>
      </c>
      <c r="V24" s="1">
        <v>0</v>
      </c>
      <c r="W24" s="1">
        <v>8.8674402999999997E-8</v>
      </c>
      <c r="X24" s="1">
        <v>0</v>
      </c>
      <c r="Y24">
        <v>0</v>
      </c>
      <c r="Z24">
        <v>1</v>
      </c>
      <c r="AA24" s="1">
        <v>1.5524066E-6</v>
      </c>
      <c r="AB24" s="1">
        <v>5.0386958E-8</v>
      </c>
    </row>
    <row r="25" spans="1:28" x14ac:dyDescent="0.45">
      <c r="A25">
        <v>18</v>
      </c>
      <c r="B25">
        <v>5</v>
      </c>
      <c r="C25" s="1">
        <v>-3.9033301999999998E-6</v>
      </c>
      <c r="D25" s="1">
        <v>1.0981692999999999E-6</v>
      </c>
      <c r="E25" s="1">
        <v>4.0548689000000002E-6</v>
      </c>
      <c r="F25" s="1">
        <v>2.9822224999999998E-4</v>
      </c>
      <c r="G25" s="1">
        <v>2.9824981000000001E-4</v>
      </c>
      <c r="H25" s="1">
        <v>4.2749810999999999E-5</v>
      </c>
      <c r="I25" s="1">
        <v>-3.7819333999999999E-5</v>
      </c>
      <c r="J25" s="1">
        <v>2.9447815000000001E-5</v>
      </c>
      <c r="K25" s="1">
        <v>2.5100536000000003E-4</v>
      </c>
      <c r="L25" s="1">
        <v>2.5554092999999998E-4</v>
      </c>
      <c r="M25" s="1">
        <v>4.092779E-8</v>
      </c>
      <c r="N25" s="1">
        <v>57.038120999999997</v>
      </c>
      <c r="O25" s="1">
        <v>708.33333000000005</v>
      </c>
      <c r="P25" s="1">
        <v>765.37144999999998</v>
      </c>
      <c r="Q25" s="1">
        <v>25.021294999999999</v>
      </c>
      <c r="R25" s="1">
        <v>32.016826000000002</v>
      </c>
      <c r="S25" s="1">
        <v>0</v>
      </c>
      <c r="T25">
        <v>731</v>
      </c>
      <c r="U25">
        <v>0</v>
      </c>
      <c r="V25" s="1">
        <v>0</v>
      </c>
      <c r="W25" s="1">
        <v>8.8674402999999997E-8</v>
      </c>
      <c r="X25" s="1">
        <v>0</v>
      </c>
      <c r="Y25">
        <v>0</v>
      </c>
      <c r="Z25">
        <v>1</v>
      </c>
      <c r="AA25" s="1">
        <v>5.5765697999999998E-7</v>
      </c>
      <c r="AB25" s="1">
        <v>5.6013327999999999E-8</v>
      </c>
    </row>
    <row r="26" spans="1:28" x14ac:dyDescent="0.45">
      <c r="A26">
        <v>20</v>
      </c>
      <c r="B26">
        <v>5</v>
      </c>
      <c r="C26" s="1">
        <v>2.5433834999999999E-6</v>
      </c>
      <c r="D26" s="1">
        <v>-1.4505717999999999E-7</v>
      </c>
      <c r="E26" s="1">
        <v>2.5475167000000002E-6</v>
      </c>
      <c r="F26" s="1">
        <v>2.9823893000000001E-4</v>
      </c>
      <c r="G26" s="1">
        <v>2.9824981000000001E-4</v>
      </c>
      <c r="H26" s="1">
        <v>4.2749810999999999E-5</v>
      </c>
      <c r="I26" s="1">
        <v>8.8121297999999994E-5</v>
      </c>
      <c r="J26" s="1">
        <v>-2.2611775E-4</v>
      </c>
      <c r="K26" s="1">
        <v>-8.0047261999999998E-5</v>
      </c>
      <c r="L26" s="1">
        <v>2.5554289000000001E-4</v>
      </c>
      <c r="M26" s="1">
        <v>4.2885317000000002E-8</v>
      </c>
      <c r="N26" s="1">
        <v>162.43415999999999</v>
      </c>
      <c r="O26" s="1">
        <v>791.66666999999995</v>
      </c>
      <c r="P26" s="1">
        <v>954.10082</v>
      </c>
      <c r="Q26" s="1">
        <v>72.869049000000004</v>
      </c>
      <c r="R26" s="1">
        <v>89.565107999999995</v>
      </c>
      <c r="S26" s="1">
        <v>0</v>
      </c>
      <c r="T26">
        <v>2504</v>
      </c>
      <c r="U26">
        <v>0</v>
      </c>
      <c r="V26" s="1">
        <v>0</v>
      </c>
      <c r="W26" s="1">
        <v>8.8674402999999997E-8</v>
      </c>
      <c r="X26" s="1">
        <v>0</v>
      </c>
      <c r="Y26">
        <v>0</v>
      </c>
      <c r="Z26">
        <v>1</v>
      </c>
      <c r="AA26" s="1">
        <v>1.7913380000000001E-6</v>
      </c>
      <c r="AB26" s="1">
        <v>5.2421912000000003E-8</v>
      </c>
    </row>
    <row r="27" spans="1:28" x14ac:dyDescent="0.45">
      <c r="Z27" t="s">
        <v>95</v>
      </c>
      <c r="AA27" s="1">
        <f>AVERAGE(AA7:AA26)</f>
        <v>1.8459533775000003E-6</v>
      </c>
    </row>
    <row r="28" spans="1:28" x14ac:dyDescent="0.45">
      <c r="Z28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7"/>
  <sheetViews>
    <sheetView topLeftCell="X1" workbookViewId="0">
      <selection activeCell="Z27" sqref="Z27:AA27"/>
    </sheetView>
  </sheetViews>
  <sheetFormatPr defaultRowHeight="14.25" x14ac:dyDescent="0.45"/>
  <sheetData>
    <row r="1" spans="1:38" x14ac:dyDescent="0.45">
      <c r="A1" t="s">
        <v>13</v>
      </c>
      <c r="B1">
        <v>20</v>
      </c>
      <c r="C1" t="s">
        <v>14</v>
      </c>
      <c r="D1" s="1">
        <v>1.6200000000000001E-5</v>
      </c>
      <c r="E1" t="s">
        <v>15</v>
      </c>
      <c r="F1" s="1">
        <v>1.0000000000000001E-5</v>
      </c>
      <c r="G1" t="s">
        <v>16</v>
      </c>
      <c r="H1" s="1">
        <v>0.375</v>
      </c>
      <c r="I1" t="s">
        <v>17</v>
      </c>
      <c r="J1" s="1">
        <v>2.5500000000000002E-4</v>
      </c>
      <c r="K1" t="s">
        <v>18</v>
      </c>
      <c r="L1" s="1">
        <v>2.9824981000000001E-4</v>
      </c>
      <c r="M1" t="s">
        <v>19</v>
      </c>
      <c r="N1" s="1">
        <v>5000</v>
      </c>
      <c r="O1" t="s">
        <v>20</v>
      </c>
      <c r="P1">
        <v>1</v>
      </c>
      <c r="Q1" t="s">
        <v>21</v>
      </c>
      <c r="R1" s="1">
        <v>0</v>
      </c>
      <c r="S1" t="s">
        <v>22</v>
      </c>
      <c r="T1">
        <v>0</v>
      </c>
      <c r="U1" t="s">
        <v>23</v>
      </c>
      <c r="V1" s="1">
        <v>0</v>
      </c>
      <c r="W1" t="s">
        <v>24</v>
      </c>
      <c r="X1" s="1">
        <v>0</v>
      </c>
    </row>
    <row r="2" spans="1:38" x14ac:dyDescent="0.45">
      <c r="A2" t="s">
        <v>25</v>
      </c>
      <c r="B2" s="1">
        <v>9.9999999999999995E-8</v>
      </c>
      <c r="C2" t="s">
        <v>26</v>
      </c>
      <c r="D2" s="1">
        <v>6</v>
      </c>
      <c r="E2" t="s">
        <v>27</v>
      </c>
      <c r="F2" s="1">
        <v>1</v>
      </c>
      <c r="G2" t="s">
        <v>28</v>
      </c>
      <c r="H2" s="1">
        <v>-6.5000000000000002E-2</v>
      </c>
      <c r="I2" t="s">
        <v>29</v>
      </c>
      <c r="J2" s="1">
        <v>-7.0000000000000007E-2</v>
      </c>
      <c r="K2" t="s">
        <v>30</v>
      </c>
      <c r="L2" s="1">
        <v>1050</v>
      </c>
      <c r="M2" t="s">
        <v>31</v>
      </c>
      <c r="N2" s="1">
        <v>998</v>
      </c>
      <c r="O2" t="s">
        <v>32</v>
      </c>
      <c r="P2" s="1">
        <v>9.9799999999999997E-4</v>
      </c>
      <c r="Q2" t="s">
        <v>33</v>
      </c>
      <c r="R2" s="1">
        <v>80</v>
      </c>
      <c r="S2" t="s">
        <v>34</v>
      </c>
      <c r="T2" s="1">
        <v>293.2</v>
      </c>
      <c r="U2" t="s">
        <v>35</v>
      </c>
      <c r="V2" s="1">
        <v>1.35</v>
      </c>
      <c r="W2" t="s">
        <v>36</v>
      </c>
      <c r="X2" s="1">
        <v>-1</v>
      </c>
    </row>
    <row r="3" spans="1:38" x14ac:dyDescent="0.45">
      <c r="A3" t="s">
        <v>37</v>
      </c>
      <c r="B3" s="1">
        <v>0.01</v>
      </c>
      <c r="C3" t="s">
        <v>38</v>
      </c>
      <c r="D3" s="1">
        <v>-7.0000000000000007E-2</v>
      </c>
      <c r="E3" t="s">
        <v>39</v>
      </c>
      <c r="F3">
        <v>5</v>
      </c>
      <c r="G3" t="s">
        <v>40</v>
      </c>
      <c r="H3" s="1">
        <v>1.1999999999999999E-7</v>
      </c>
      <c r="I3" t="s">
        <v>41</v>
      </c>
      <c r="J3" s="1">
        <v>5.9999999999999995E-8</v>
      </c>
      <c r="K3" t="s">
        <v>42</v>
      </c>
      <c r="L3" s="1">
        <v>1.9000000000000001E-8</v>
      </c>
      <c r="M3" t="s">
        <v>43</v>
      </c>
      <c r="N3" s="1">
        <v>3.9656398000000002E-8</v>
      </c>
      <c r="O3" t="s">
        <v>44</v>
      </c>
      <c r="P3" s="1">
        <v>2.3380094000000001E-9</v>
      </c>
      <c r="Q3" t="s">
        <v>45</v>
      </c>
      <c r="R3" s="1">
        <v>1000</v>
      </c>
      <c r="S3" t="s">
        <v>46</v>
      </c>
      <c r="T3" s="1">
        <v>100</v>
      </c>
      <c r="U3" t="s">
        <v>47</v>
      </c>
      <c r="V3" s="1">
        <v>0.01</v>
      </c>
    </row>
    <row r="4" spans="1:38" x14ac:dyDescent="0.45">
      <c r="A4" t="s">
        <v>48</v>
      </c>
      <c r="B4" s="1">
        <v>7.1699999999999994E-21</v>
      </c>
      <c r="C4" t="s">
        <v>49</v>
      </c>
      <c r="D4" s="1">
        <v>9.9999999999999995E-8</v>
      </c>
      <c r="E4" t="s">
        <v>50</v>
      </c>
      <c r="F4" s="1">
        <v>-2.7E-2</v>
      </c>
      <c r="G4" t="s">
        <v>51</v>
      </c>
      <c r="H4" s="1">
        <v>6E-10</v>
      </c>
      <c r="I4" t="s">
        <v>52</v>
      </c>
      <c r="J4" s="1">
        <v>1.09E-2</v>
      </c>
      <c r="K4" t="s">
        <v>53</v>
      </c>
      <c r="L4" s="1">
        <v>5.4999999999999996E-10</v>
      </c>
      <c r="M4" t="s">
        <v>54</v>
      </c>
      <c r="N4" s="1">
        <v>4300000000</v>
      </c>
      <c r="O4" t="s">
        <v>55</v>
      </c>
      <c r="P4" s="1">
        <v>-2.9000000000000001E-2</v>
      </c>
      <c r="Q4" t="s">
        <v>56</v>
      </c>
      <c r="R4" s="1">
        <v>1.0832865E-8</v>
      </c>
      <c r="S4" t="s">
        <v>57</v>
      </c>
      <c r="T4" s="1">
        <v>0.5</v>
      </c>
      <c r="U4" t="s">
        <v>58</v>
      </c>
      <c r="V4" s="1">
        <v>0.01</v>
      </c>
      <c r="W4" t="s">
        <v>59</v>
      </c>
      <c r="X4" s="1">
        <v>0.1</v>
      </c>
      <c r="Y4" t="s">
        <v>60</v>
      </c>
      <c r="Z4" s="1">
        <v>6.5000000000000003E-20</v>
      </c>
      <c r="AA4" t="s">
        <v>61</v>
      </c>
      <c r="AB4" s="1">
        <v>6.2999999999999997E-20</v>
      </c>
      <c r="AC4" t="s">
        <v>62</v>
      </c>
      <c r="AD4" s="1">
        <v>3.7000000000000001E-20</v>
      </c>
      <c r="AE4" t="s">
        <v>63</v>
      </c>
      <c r="AF4" s="1">
        <v>7.0000000000000001E-20</v>
      </c>
      <c r="AG4" t="s">
        <v>64</v>
      </c>
      <c r="AH4" s="1">
        <v>1.5100000000000001E-19</v>
      </c>
      <c r="AI4" t="s">
        <v>65</v>
      </c>
      <c r="AJ4" s="1">
        <v>1E-8</v>
      </c>
      <c r="AK4" t="s">
        <v>66</v>
      </c>
      <c r="AL4" s="1">
        <v>9.9999999999999995E-8</v>
      </c>
    </row>
    <row r="5" spans="1:38" x14ac:dyDescent="0.45">
      <c r="A5" t="s">
        <v>12</v>
      </c>
    </row>
    <row r="6" spans="1:38" x14ac:dyDescent="0.4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 t="s">
        <v>87</v>
      </c>
      <c r="V6" t="s">
        <v>88</v>
      </c>
      <c r="W6" t="s">
        <v>89</v>
      </c>
      <c r="X6" t="s">
        <v>90</v>
      </c>
      <c r="Y6" t="s">
        <v>91</v>
      </c>
      <c r="Z6" t="s">
        <v>92</v>
      </c>
      <c r="AA6" t="s">
        <v>93</v>
      </c>
      <c r="AB6" t="s">
        <v>94</v>
      </c>
    </row>
    <row r="7" spans="1:38" x14ac:dyDescent="0.45">
      <c r="A7">
        <v>1</v>
      </c>
      <c r="B7">
        <v>1</v>
      </c>
      <c r="C7" s="1">
        <v>1.8372425E-6</v>
      </c>
      <c r="D7" s="1">
        <v>7.9606415999999998E-6</v>
      </c>
      <c r="E7" s="1">
        <v>8.1699006000000008E-6</v>
      </c>
      <c r="F7" s="1">
        <v>2.9813788999999999E-4</v>
      </c>
      <c r="G7" s="1">
        <v>2.9824981000000001E-4</v>
      </c>
      <c r="H7" s="1">
        <v>4.3149811000000002E-5</v>
      </c>
      <c r="I7" s="1">
        <v>-1.6648213E-5</v>
      </c>
      <c r="J7" s="1">
        <v>1.3330540000000001E-4</v>
      </c>
      <c r="K7" s="1">
        <v>-2.6628226E-4</v>
      </c>
      <c r="L7" s="1">
        <v>2.9825113E-4</v>
      </c>
      <c r="M7" s="1">
        <v>4.3151129E-5</v>
      </c>
      <c r="N7" s="1">
        <v>65.286180000000002</v>
      </c>
      <c r="O7" s="1">
        <v>0</v>
      </c>
      <c r="P7" s="1">
        <v>65.286180000000002</v>
      </c>
      <c r="Q7" s="1">
        <v>63.597031000000001</v>
      </c>
      <c r="R7" s="1">
        <v>1.6891484000000001</v>
      </c>
      <c r="S7" s="1">
        <v>0</v>
      </c>
      <c r="T7">
        <v>2722</v>
      </c>
      <c r="U7">
        <v>0</v>
      </c>
      <c r="V7" s="1">
        <v>0</v>
      </c>
      <c r="W7" s="1">
        <v>3.9656398000000002E-8</v>
      </c>
      <c r="X7" s="1">
        <v>0</v>
      </c>
      <c r="Y7">
        <v>0</v>
      </c>
      <c r="Z7">
        <v>1</v>
      </c>
      <c r="AA7" s="1">
        <v>2.3749766000000001E-5</v>
      </c>
      <c r="AB7" s="1">
        <v>8.3993362999999996E-8</v>
      </c>
    </row>
    <row r="8" spans="1:38" x14ac:dyDescent="0.45">
      <c r="A8">
        <v>2</v>
      </c>
      <c r="B8">
        <v>1</v>
      </c>
      <c r="C8" s="1">
        <v>-1.5186734E-6</v>
      </c>
      <c r="D8" s="1">
        <v>3.7405413999999998E-6</v>
      </c>
      <c r="E8" s="1">
        <v>4.0370804999999998E-6</v>
      </c>
      <c r="F8" s="1">
        <v>2.9822249E-4</v>
      </c>
      <c r="G8" s="1">
        <v>2.9824981000000001E-4</v>
      </c>
      <c r="H8" s="1">
        <v>4.3149811000000002E-5</v>
      </c>
      <c r="I8" s="1">
        <v>-7.2409119999999999E-5</v>
      </c>
      <c r="J8" s="1">
        <v>5.7776847000000001E-5</v>
      </c>
      <c r="K8" s="1">
        <v>-2.8350055999999999E-4</v>
      </c>
      <c r="L8" s="1">
        <v>2.9825126000000002E-4</v>
      </c>
      <c r="M8" s="1">
        <v>4.3151256000000001E-5</v>
      </c>
      <c r="N8" s="1">
        <v>65.763716000000002</v>
      </c>
      <c r="O8" s="1">
        <v>41.666666999999997</v>
      </c>
      <c r="P8" s="1">
        <v>107.43038</v>
      </c>
      <c r="Q8" s="1">
        <v>60.441136999999998</v>
      </c>
      <c r="R8" s="1">
        <v>5.3225784999999997</v>
      </c>
      <c r="S8" s="1">
        <v>0</v>
      </c>
      <c r="T8">
        <v>5965</v>
      </c>
      <c r="U8">
        <v>0</v>
      </c>
      <c r="V8" s="1">
        <v>0</v>
      </c>
      <c r="W8" s="1">
        <v>3.9656398000000002E-8</v>
      </c>
      <c r="X8" s="1">
        <v>0</v>
      </c>
      <c r="Y8">
        <v>0</v>
      </c>
      <c r="Z8">
        <v>1</v>
      </c>
      <c r="AA8" s="1">
        <v>1.9750032E-5</v>
      </c>
      <c r="AB8" s="1">
        <v>7.8412931000000003E-8</v>
      </c>
    </row>
    <row r="9" spans="1:38" x14ac:dyDescent="0.45">
      <c r="A9">
        <v>3</v>
      </c>
      <c r="B9">
        <v>1</v>
      </c>
      <c r="C9" s="1">
        <v>3.6056857999999998E-6</v>
      </c>
      <c r="D9" s="1">
        <v>6.4544628000000004E-6</v>
      </c>
      <c r="E9" s="1">
        <v>7.3933117999999996E-6</v>
      </c>
      <c r="F9" s="1">
        <v>2.9815815999999998E-4</v>
      </c>
      <c r="G9" s="1">
        <v>2.9824981000000001E-4</v>
      </c>
      <c r="H9" s="1">
        <v>4.3149811000000002E-5</v>
      </c>
      <c r="I9" s="1">
        <v>9.4100734000000008E-6</v>
      </c>
      <c r="J9" s="1">
        <v>5.3532059000000003E-5</v>
      </c>
      <c r="K9" s="1">
        <v>-2.9325761E-4</v>
      </c>
      <c r="L9" s="1">
        <v>2.9825201E-4</v>
      </c>
      <c r="M9" s="1">
        <v>4.3152005000000003E-5</v>
      </c>
      <c r="N9" s="1">
        <v>74.427944999999994</v>
      </c>
      <c r="O9" s="1">
        <v>83.333332999999996</v>
      </c>
      <c r="P9" s="1">
        <v>157.76128</v>
      </c>
      <c r="Q9" s="1">
        <v>71.071404000000001</v>
      </c>
      <c r="R9" s="1">
        <v>3.3565412000000001</v>
      </c>
      <c r="S9" s="1">
        <v>0</v>
      </c>
      <c r="T9">
        <v>4817</v>
      </c>
      <c r="U9">
        <v>0</v>
      </c>
      <c r="V9" s="1">
        <v>0</v>
      </c>
      <c r="W9" s="1">
        <v>3.9656398000000002E-8</v>
      </c>
      <c r="X9" s="1">
        <v>0</v>
      </c>
      <c r="Y9">
        <v>0</v>
      </c>
      <c r="Z9">
        <v>1</v>
      </c>
      <c r="AA9" s="1">
        <v>2.3255347999999999E-5</v>
      </c>
      <c r="AB9" s="1">
        <v>8.319565E-8</v>
      </c>
    </row>
    <row r="10" spans="1:38" x14ac:dyDescent="0.45">
      <c r="A10">
        <v>4</v>
      </c>
      <c r="B10">
        <v>1</v>
      </c>
      <c r="C10" s="1">
        <v>6.0125357999999999E-6</v>
      </c>
      <c r="D10" s="1">
        <v>-4.7755737000000004E-7</v>
      </c>
      <c r="E10" s="1">
        <v>6.0314714000000002E-6</v>
      </c>
      <c r="F10" s="1">
        <v>2.9818881999999999E-4</v>
      </c>
      <c r="G10" s="1">
        <v>2.9824981000000001E-4</v>
      </c>
      <c r="H10" s="1">
        <v>4.3149811000000002E-5</v>
      </c>
      <c r="I10" s="1">
        <v>1.3815358999999999E-4</v>
      </c>
      <c r="J10" s="1">
        <v>-3.6054542E-5</v>
      </c>
      <c r="K10" s="1">
        <v>-2.6185487E-4</v>
      </c>
      <c r="L10" s="1">
        <v>2.9825210000000002E-4</v>
      </c>
      <c r="M10" s="1">
        <v>4.3152102999999998E-5</v>
      </c>
      <c r="N10" s="1">
        <v>49.866612000000003</v>
      </c>
      <c r="O10" s="1">
        <v>125</v>
      </c>
      <c r="P10" s="1">
        <v>174.86661000000001</v>
      </c>
      <c r="Q10" s="1">
        <v>44.755867000000002</v>
      </c>
      <c r="R10" s="1">
        <v>5.1107455000000002</v>
      </c>
      <c r="S10" s="1">
        <v>0</v>
      </c>
      <c r="T10">
        <v>7581</v>
      </c>
      <c r="U10">
        <v>0</v>
      </c>
      <c r="V10" s="1">
        <v>0</v>
      </c>
      <c r="W10" s="1">
        <v>3.9656398000000002E-8</v>
      </c>
      <c r="X10" s="1">
        <v>0</v>
      </c>
      <c r="Y10">
        <v>0</v>
      </c>
      <c r="Z10">
        <v>1</v>
      </c>
      <c r="AA10" s="1">
        <v>2.3561238000000001E-5</v>
      </c>
      <c r="AB10" s="1">
        <v>8.4570550000000005E-8</v>
      </c>
    </row>
    <row r="11" spans="1:38" x14ac:dyDescent="0.45">
      <c r="A11">
        <v>5</v>
      </c>
      <c r="B11">
        <v>1</v>
      </c>
      <c r="C11" s="1">
        <v>-5.0864477999999999E-6</v>
      </c>
      <c r="D11" s="1">
        <v>1.7391916E-6</v>
      </c>
      <c r="E11" s="1">
        <v>5.3755687000000002E-6</v>
      </c>
      <c r="F11" s="1">
        <v>2.9820136000000003E-4</v>
      </c>
      <c r="G11" s="1">
        <v>2.9824981000000001E-4</v>
      </c>
      <c r="H11" s="1">
        <v>4.3149811000000002E-5</v>
      </c>
      <c r="I11" s="1">
        <v>-4.4599045999999997E-5</v>
      </c>
      <c r="J11" s="1">
        <v>-1.359719E-5</v>
      </c>
      <c r="K11" s="1">
        <v>-2.9458332999999999E-4</v>
      </c>
      <c r="L11" s="1">
        <v>2.9825039000000003E-4</v>
      </c>
      <c r="M11" s="1">
        <v>4.3150391000000001E-5</v>
      </c>
      <c r="N11" s="1">
        <v>96.540863000000002</v>
      </c>
      <c r="O11" s="1">
        <v>166.66667000000001</v>
      </c>
      <c r="P11" s="1">
        <v>263.20753000000002</v>
      </c>
      <c r="Q11" s="1">
        <v>84.713686999999993</v>
      </c>
      <c r="R11" s="1">
        <v>11.827177000000001</v>
      </c>
      <c r="S11" s="1">
        <v>0</v>
      </c>
      <c r="T11">
        <v>16362</v>
      </c>
      <c r="U11">
        <v>0</v>
      </c>
      <c r="V11" s="1">
        <v>0</v>
      </c>
      <c r="W11" s="1">
        <v>3.9656398000000002E-8</v>
      </c>
      <c r="X11" s="1">
        <v>0</v>
      </c>
      <c r="Y11">
        <v>0</v>
      </c>
      <c r="Z11">
        <v>1</v>
      </c>
      <c r="AA11" s="1">
        <v>2.2497474000000002E-5</v>
      </c>
      <c r="AB11" s="1">
        <v>8.1737841000000006E-8</v>
      </c>
    </row>
    <row r="12" spans="1:38" x14ac:dyDescent="0.45">
      <c r="A12">
        <v>6</v>
      </c>
      <c r="B12">
        <v>1</v>
      </c>
      <c r="C12" s="1">
        <v>-1.5538203E-6</v>
      </c>
      <c r="D12" s="1">
        <v>5.2863872000000001E-6</v>
      </c>
      <c r="E12" s="1">
        <v>5.5100133000000001E-6</v>
      </c>
      <c r="F12" s="1">
        <v>2.9819891E-4</v>
      </c>
      <c r="G12" s="1">
        <v>2.9824981000000001E-4</v>
      </c>
      <c r="H12" s="1">
        <v>4.3149811000000002E-5</v>
      </c>
      <c r="I12" s="1">
        <v>-8.8351211000000006E-5</v>
      </c>
      <c r="J12" s="1">
        <v>8.2469309000000005E-6</v>
      </c>
      <c r="K12" s="1">
        <v>-2.8474833000000001E-4</v>
      </c>
      <c r="L12" s="1">
        <v>2.9825419000000002E-4</v>
      </c>
      <c r="M12" s="1">
        <v>4.3154186999999999E-5</v>
      </c>
      <c r="N12" s="1">
        <v>99.198100999999994</v>
      </c>
      <c r="O12" s="1">
        <v>208.33332999999999</v>
      </c>
      <c r="P12" s="1">
        <v>307.53143</v>
      </c>
      <c r="Q12" s="1">
        <v>92.278949999999995</v>
      </c>
      <c r="R12" s="1">
        <v>6.9191504000000004</v>
      </c>
      <c r="S12" s="1">
        <v>0</v>
      </c>
      <c r="T12">
        <v>11027</v>
      </c>
      <c r="U12">
        <v>0</v>
      </c>
      <c r="V12" s="1">
        <v>0</v>
      </c>
      <c r="W12" s="1">
        <v>3.9656398000000002E-8</v>
      </c>
      <c r="X12" s="1">
        <v>0</v>
      </c>
      <c r="Y12">
        <v>0</v>
      </c>
      <c r="Z12">
        <v>1</v>
      </c>
      <c r="AA12" s="1">
        <v>2.4500862000000001E-5</v>
      </c>
      <c r="AB12" s="1">
        <v>8.4069452999999999E-8</v>
      </c>
    </row>
    <row r="13" spans="1:38" x14ac:dyDescent="0.45">
      <c r="A13">
        <v>7</v>
      </c>
      <c r="B13">
        <v>1</v>
      </c>
      <c r="C13" s="1">
        <v>4.3386279000000003E-6</v>
      </c>
      <c r="D13" s="1">
        <v>-4.6207565000000002E-7</v>
      </c>
      <c r="E13" s="1">
        <v>4.3631647000000003E-6</v>
      </c>
      <c r="F13" s="1">
        <v>2.9821789E-4</v>
      </c>
      <c r="G13" s="1">
        <v>2.9824981000000001E-4</v>
      </c>
      <c r="H13" s="1">
        <v>4.3149811000000002E-5</v>
      </c>
      <c r="I13" s="1">
        <v>-1.4429920000000001E-4</v>
      </c>
      <c r="J13" s="1">
        <v>-2.5717771E-5</v>
      </c>
      <c r="K13" s="1">
        <v>-2.5975388E-4</v>
      </c>
      <c r="L13" s="1">
        <v>2.9825449000000001E-4</v>
      </c>
      <c r="M13" s="1">
        <v>4.3154488999999998E-5</v>
      </c>
      <c r="N13" s="1">
        <v>62.345208999999997</v>
      </c>
      <c r="O13" s="1">
        <v>250</v>
      </c>
      <c r="P13" s="1">
        <v>312.34521000000001</v>
      </c>
      <c r="Q13" s="1">
        <v>61.427574</v>
      </c>
      <c r="R13" s="1">
        <v>0.91763479999999997</v>
      </c>
      <c r="S13" s="1">
        <v>0</v>
      </c>
      <c r="T13">
        <v>1684</v>
      </c>
      <c r="U13">
        <v>0</v>
      </c>
      <c r="V13" s="1">
        <v>0</v>
      </c>
      <c r="W13" s="1">
        <v>3.9656398000000002E-8</v>
      </c>
      <c r="X13" s="1">
        <v>0</v>
      </c>
      <c r="Y13">
        <v>0</v>
      </c>
      <c r="Z13">
        <v>1</v>
      </c>
      <c r="AA13" s="1">
        <v>2.8959458000000001E-5</v>
      </c>
      <c r="AB13" s="1">
        <v>8.5500204000000003E-8</v>
      </c>
    </row>
    <row r="14" spans="1:38" x14ac:dyDescent="0.45">
      <c r="A14">
        <v>8</v>
      </c>
      <c r="B14">
        <v>1</v>
      </c>
      <c r="C14" s="1">
        <v>3.3263482000000002E-6</v>
      </c>
      <c r="D14" s="1">
        <v>1.520475E-7</v>
      </c>
      <c r="E14" s="1">
        <v>3.3298214E-6</v>
      </c>
      <c r="F14" s="1">
        <v>2.9823122000000003E-4</v>
      </c>
      <c r="G14" s="1">
        <v>2.9824981000000001E-4</v>
      </c>
      <c r="H14" s="1">
        <v>4.3149811000000002E-5</v>
      </c>
      <c r="I14" s="1">
        <v>2.2675462999999999E-5</v>
      </c>
      <c r="J14" s="1">
        <v>3.8879723000000003E-5</v>
      </c>
      <c r="K14" s="1">
        <v>-2.9483849000000001E-4</v>
      </c>
      <c r="L14" s="1">
        <v>2.9825415999999998E-4</v>
      </c>
      <c r="M14" s="1">
        <v>4.3154164000000003E-5</v>
      </c>
      <c r="N14" s="1">
        <v>66.715609000000001</v>
      </c>
      <c r="O14" s="1">
        <v>291.66667000000001</v>
      </c>
      <c r="P14" s="1">
        <v>358.38227999999998</v>
      </c>
      <c r="Q14" s="1">
        <v>62.591822999999998</v>
      </c>
      <c r="R14" s="1">
        <v>4.1237857</v>
      </c>
      <c r="S14" s="1">
        <v>0</v>
      </c>
      <c r="T14">
        <v>5799</v>
      </c>
      <c r="U14">
        <v>0</v>
      </c>
      <c r="V14" s="1">
        <v>0</v>
      </c>
      <c r="W14" s="1">
        <v>3.9656398000000002E-8</v>
      </c>
      <c r="X14" s="1">
        <v>0</v>
      </c>
      <c r="Y14">
        <v>0</v>
      </c>
      <c r="Z14">
        <v>1</v>
      </c>
      <c r="AA14" s="1">
        <v>2.2048666000000002E-5</v>
      </c>
      <c r="AB14" s="1">
        <v>8.1286129999999999E-8</v>
      </c>
    </row>
    <row r="15" spans="1:38" x14ac:dyDescent="0.45">
      <c r="A15">
        <v>9</v>
      </c>
      <c r="B15">
        <v>1</v>
      </c>
      <c r="C15" s="1">
        <v>8.7135453000000001E-6</v>
      </c>
      <c r="D15" s="1">
        <v>-6.3529660999999996E-7</v>
      </c>
      <c r="E15" s="1">
        <v>8.7366740999999994E-6</v>
      </c>
      <c r="F15" s="1">
        <v>2.9812182000000002E-4</v>
      </c>
      <c r="G15" s="1">
        <v>2.9824981000000001E-4</v>
      </c>
      <c r="H15" s="1">
        <v>4.3149811000000002E-5</v>
      </c>
      <c r="I15" s="1">
        <v>5.4648256000000003E-5</v>
      </c>
      <c r="J15" s="1">
        <v>1.1203830999999999E-4</v>
      </c>
      <c r="K15" s="1">
        <v>-2.7095024999999998E-4</v>
      </c>
      <c r="L15" s="1">
        <v>2.9824999E-4</v>
      </c>
      <c r="M15" s="1">
        <v>4.3149989000000002E-5</v>
      </c>
      <c r="N15" s="1">
        <v>50.316119999999998</v>
      </c>
      <c r="O15" s="1">
        <v>333.33332999999999</v>
      </c>
      <c r="P15" s="1">
        <v>383.64945</v>
      </c>
      <c r="Q15" s="1">
        <v>48.616278000000001</v>
      </c>
      <c r="R15" s="1">
        <v>1.6998411</v>
      </c>
      <c r="S15" s="1">
        <v>0</v>
      </c>
      <c r="T15">
        <v>2138</v>
      </c>
      <c r="U15">
        <v>0</v>
      </c>
      <c r="V15" s="1">
        <v>0</v>
      </c>
      <c r="W15" s="1">
        <v>3.9656398000000002E-8</v>
      </c>
      <c r="X15" s="1">
        <v>0</v>
      </c>
      <c r="Y15">
        <v>0</v>
      </c>
      <c r="Z15">
        <v>1</v>
      </c>
      <c r="AA15" s="1">
        <v>2.1296211000000001E-5</v>
      </c>
      <c r="AB15" s="1">
        <v>8.3059562999999994E-8</v>
      </c>
    </row>
    <row r="16" spans="1:38" x14ac:dyDescent="0.45">
      <c r="A16">
        <v>10</v>
      </c>
      <c r="B16">
        <v>1</v>
      </c>
      <c r="C16" s="1">
        <v>6.4796679999999999E-6</v>
      </c>
      <c r="D16" s="1">
        <v>6.0003938999999997E-6</v>
      </c>
      <c r="E16" s="1">
        <v>8.8312413999999997E-6</v>
      </c>
      <c r="F16" s="1">
        <v>2.9811903E-4</v>
      </c>
      <c r="G16" s="1">
        <v>2.9824981000000001E-4</v>
      </c>
      <c r="H16" s="1">
        <v>4.3149811000000002E-5</v>
      </c>
      <c r="I16" s="1">
        <v>9.3776391999999997E-5</v>
      </c>
      <c r="J16" s="1">
        <v>4.8856775000000001E-5</v>
      </c>
      <c r="K16" s="1">
        <v>-2.7887653E-4</v>
      </c>
      <c r="L16" s="1">
        <v>2.9825008999999998E-4</v>
      </c>
      <c r="M16" s="1">
        <v>4.3150086E-5</v>
      </c>
      <c r="N16" s="1">
        <v>46.257888999999999</v>
      </c>
      <c r="O16" s="1">
        <v>375</v>
      </c>
      <c r="P16" s="1">
        <v>421.25788999999997</v>
      </c>
      <c r="Q16" s="1">
        <v>43.261803999999998</v>
      </c>
      <c r="R16" s="1">
        <v>2.9960846999999999</v>
      </c>
      <c r="S16" s="1">
        <v>0</v>
      </c>
      <c r="T16">
        <v>3537</v>
      </c>
      <c r="U16">
        <v>0</v>
      </c>
      <c r="V16" s="1">
        <v>0</v>
      </c>
      <c r="W16" s="1">
        <v>3.9656398000000002E-8</v>
      </c>
      <c r="X16" s="1">
        <v>0</v>
      </c>
      <c r="Y16">
        <v>0</v>
      </c>
      <c r="Z16">
        <v>1</v>
      </c>
      <c r="AA16" s="1">
        <v>1.9332725E-5</v>
      </c>
      <c r="AB16" s="1">
        <v>7.8670576000000001E-8</v>
      </c>
    </row>
    <row r="17" spans="1:28" x14ac:dyDescent="0.45">
      <c r="A17">
        <v>11</v>
      </c>
      <c r="B17">
        <v>1</v>
      </c>
      <c r="C17" s="1">
        <v>4.4333927E-6</v>
      </c>
      <c r="D17" s="1">
        <v>-8.8171087000000005E-6</v>
      </c>
      <c r="E17" s="1">
        <v>9.8689603000000003E-6</v>
      </c>
      <c r="F17" s="1">
        <v>2.9808649000000003E-4</v>
      </c>
      <c r="G17" s="1">
        <v>2.9824981000000001E-4</v>
      </c>
      <c r="H17" s="1">
        <v>4.3149811000000002E-5</v>
      </c>
      <c r="I17" s="1">
        <v>6.2412768000000006E-5</v>
      </c>
      <c r="J17" s="1">
        <v>-1.2663560000000001E-4</v>
      </c>
      <c r="K17" s="1">
        <v>-2.6271996999999999E-4</v>
      </c>
      <c r="L17" s="1">
        <v>2.9825108999999999E-4</v>
      </c>
      <c r="M17" s="1">
        <v>4.3151093999999998E-5</v>
      </c>
      <c r="N17" s="1">
        <v>62.794708</v>
      </c>
      <c r="O17" s="1">
        <v>416.66667000000001</v>
      </c>
      <c r="P17" s="1">
        <v>479.46136999999999</v>
      </c>
      <c r="Q17" s="1">
        <v>61.223624000000001</v>
      </c>
      <c r="R17" s="1">
        <v>1.5710831999999999</v>
      </c>
      <c r="S17" s="1">
        <v>0</v>
      </c>
      <c r="T17">
        <v>2895</v>
      </c>
      <c r="U17">
        <v>0</v>
      </c>
      <c r="V17" s="1">
        <v>0</v>
      </c>
      <c r="W17" s="1">
        <v>3.9656398000000002E-8</v>
      </c>
      <c r="X17" s="1">
        <v>0</v>
      </c>
      <c r="Y17">
        <v>0</v>
      </c>
      <c r="Z17">
        <v>1</v>
      </c>
      <c r="AA17" s="1">
        <v>2.9912390000000001E-5</v>
      </c>
      <c r="AB17" s="1">
        <v>9.0243378000000004E-8</v>
      </c>
    </row>
    <row r="18" spans="1:28" x14ac:dyDescent="0.45">
      <c r="A18">
        <v>12</v>
      </c>
      <c r="B18">
        <v>1</v>
      </c>
      <c r="C18" s="1">
        <v>-6.4929023000000004E-6</v>
      </c>
      <c r="D18" s="1">
        <v>9.5371570000000004E-8</v>
      </c>
      <c r="E18" s="1">
        <v>6.4936027E-6</v>
      </c>
      <c r="F18" s="1">
        <v>2.9817910999999997E-4</v>
      </c>
      <c r="G18" s="1">
        <v>2.9824981000000001E-4</v>
      </c>
      <c r="H18" s="1">
        <v>4.3149811000000002E-5</v>
      </c>
      <c r="I18" s="1">
        <v>-2.0815042000000001E-5</v>
      </c>
      <c r="J18" s="1">
        <v>5.5054194000000002E-5</v>
      </c>
      <c r="K18" s="1">
        <v>-2.9238887000000003E-4</v>
      </c>
      <c r="L18" s="1">
        <v>2.9825404999999998E-4</v>
      </c>
      <c r="M18" s="1">
        <v>4.3154052000000003E-5</v>
      </c>
      <c r="N18" s="1">
        <v>101.65716</v>
      </c>
      <c r="O18" s="1">
        <v>458.33332999999999</v>
      </c>
      <c r="P18" s="1">
        <v>559.99049000000002</v>
      </c>
      <c r="Q18" s="1">
        <v>90.455719000000002</v>
      </c>
      <c r="R18" s="1">
        <v>11.201435999999999</v>
      </c>
      <c r="S18" s="1">
        <v>0</v>
      </c>
      <c r="T18">
        <v>16195</v>
      </c>
      <c r="U18">
        <v>0</v>
      </c>
      <c r="V18" s="1">
        <v>0</v>
      </c>
      <c r="W18" s="1">
        <v>3.9656398000000002E-8</v>
      </c>
      <c r="X18" s="1">
        <v>0</v>
      </c>
      <c r="Y18">
        <v>0</v>
      </c>
      <c r="Z18">
        <v>1</v>
      </c>
      <c r="AA18" s="1">
        <v>2.3525573E-5</v>
      </c>
      <c r="AB18" s="1">
        <v>8.3690762000000002E-8</v>
      </c>
    </row>
    <row r="19" spans="1:28" x14ac:dyDescent="0.45">
      <c r="A19">
        <v>13</v>
      </c>
      <c r="B19">
        <v>1</v>
      </c>
      <c r="C19" s="1">
        <v>-2.3830884E-6</v>
      </c>
      <c r="D19" s="1">
        <v>9.8570139999999994E-7</v>
      </c>
      <c r="E19" s="1">
        <v>2.5788986E-6</v>
      </c>
      <c r="F19" s="1">
        <v>2.9823866000000001E-4</v>
      </c>
      <c r="G19" s="1">
        <v>2.9824981000000001E-4</v>
      </c>
      <c r="H19" s="1">
        <v>4.3149811000000002E-5</v>
      </c>
      <c r="I19" s="1">
        <v>1.9970742E-5</v>
      </c>
      <c r="J19" s="1">
        <v>1.2784234E-4</v>
      </c>
      <c r="K19" s="1">
        <v>-2.6872012999999998E-4</v>
      </c>
      <c r="L19" s="1">
        <v>2.9824989999999998E-4</v>
      </c>
      <c r="M19" s="1">
        <v>4.3149894999999998E-5</v>
      </c>
      <c r="N19" s="1">
        <v>79.675398999999999</v>
      </c>
      <c r="O19" s="1">
        <v>500</v>
      </c>
      <c r="P19" s="1">
        <v>579.67539999999997</v>
      </c>
      <c r="Q19" s="1">
        <v>69.825981999999996</v>
      </c>
      <c r="R19" s="1">
        <v>9.8494179000000006</v>
      </c>
      <c r="S19" s="1">
        <v>0</v>
      </c>
      <c r="T19">
        <v>15086</v>
      </c>
      <c r="U19">
        <v>0</v>
      </c>
      <c r="V19" s="1">
        <v>0</v>
      </c>
      <c r="W19" s="1">
        <v>3.9656398000000002E-8</v>
      </c>
      <c r="X19" s="1">
        <v>0</v>
      </c>
      <c r="Y19">
        <v>0</v>
      </c>
      <c r="Z19">
        <v>1</v>
      </c>
      <c r="AA19" s="1">
        <v>2.4653228E-5</v>
      </c>
      <c r="AB19" s="1">
        <v>8.2750539999999997E-8</v>
      </c>
    </row>
    <row r="20" spans="1:28" x14ac:dyDescent="0.45">
      <c r="A20">
        <v>14</v>
      </c>
      <c r="B20">
        <v>1</v>
      </c>
      <c r="C20" s="1">
        <v>1.1701666E-6</v>
      </c>
      <c r="D20" s="1">
        <v>-8.3092238000000008E-6</v>
      </c>
      <c r="E20" s="1">
        <v>8.3912149999999996E-6</v>
      </c>
      <c r="F20" s="1">
        <v>2.9813174000000001E-4</v>
      </c>
      <c r="G20" s="1">
        <v>2.9824981000000001E-4</v>
      </c>
      <c r="H20" s="1">
        <v>4.3149811000000002E-5</v>
      </c>
      <c r="I20" s="1">
        <v>4.7482263999999999E-5</v>
      </c>
      <c r="J20" s="1">
        <v>-1.0011739E-4</v>
      </c>
      <c r="K20" s="1">
        <v>-2.7690476000000002E-4</v>
      </c>
      <c r="L20" s="1">
        <v>2.9825208E-4</v>
      </c>
      <c r="M20" s="1">
        <v>4.3152080000000002E-5</v>
      </c>
      <c r="N20" s="1">
        <v>32.069020000000002</v>
      </c>
      <c r="O20" s="1">
        <v>541.66666999999995</v>
      </c>
      <c r="P20" s="1">
        <v>573.73568999999998</v>
      </c>
      <c r="Q20" s="1">
        <v>32.069020999999999</v>
      </c>
      <c r="R20" s="1">
        <v>0</v>
      </c>
      <c r="S20" s="1">
        <v>0</v>
      </c>
      <c r="T20">
        <v>0</v>
      </c>
      <c r="U20">
        <v>0</v>
      </c>
      <c r="V20" s="1">
        <v>0</v>
      </c>
      <c r="W20" s="1">
        <v>3.9656398000000002E-8</v>
      </c>
      <c r="X20" s="1">
        <v>-1</v>
      </c>
      <c r="Y20">
        <v>0</v>
      </c>
      <c r="Z20">
        <v>1</v>
      </c>
      <c r="AA20" s="1">
        <v>0</v>
      </c>
      <c r="AB20" s="1">
        <v>0</v>
      </c>
    </row>
    <row r="21" spans="1:28" x14ac:dyDescent="0.45">
      <c r="A21">
        <v>18</v>
      </c>
      <c r="B21">
        <v>1</v>
      </c>
      <c r="C21" s="1">
        <v>2.4573744999999998E-6</v>
      </c>
      <c r="D21" s="1">
        <v>7.6564755999999999E-6</v>
      </c>
      <c r="E21" s="1">
        <v>8.0411634000000004E-6</v>
      </c>
      <c r="F21" s="1">
        <v>2.9814138999999999E-4</v>
      </c>
      <c r="G21" s="1">
        <v>2.9824981000000001E-4</v>
      </c>
      <c r="H21" s="1">
        <v>4.3149811000000002E-5</v>
      </c>
      <c r="I21" s="1">
        <v>4.8762935000000003E-5</v>
      </c>
      <c r="J21" s="1">
        <v>3.4457852000000003E-5</v>
      </c>
      <c r="K21" s="1">
        <v>-2.9221242999999999E-4</v>
      </c>
      <c r="L21" s="1">
        <v>2.9825035000000002E-4</v>
      </c>
      <c r="M21" s="1">
        <v>4.3150352999999997E-5</v>
      </c>
      <c r="N21" s="1">
        <v>53.945256000000001</v>
      </c>
      <c r="O21" s="1">
        <v>708.33333000000005</v>
      </c>
      <c r="P21" s="1">
        <v>762.27859000000001</v>
      </c>
      <c r="Q21" s="1">
        <v>53.570714000000002</v>
      </c>
      <c r="R21" s="1">
        <v>0.37454280000000001</v>
      </c>
      <c r="S21" s="1">
        <v>0</v>
      </c>
      <c r="T21">
        <v>1047</v>
      </c>
      <c r="U21">
        <v>0</v>
      </c>
      <c r="V21" s="1">
        <v>0</v>
      </c>
      <c r="W21" s="1">
        <v>3.9656398000000002E-8</v>
      </c>
      <c r="X21" s="1">
        <v>0</v>
      </c>
      <c r="Y21">
        <v>0</v>
      </c>
      <c r="Z21">
        <v>1</v>
      </c>
      <c r="AA21" s="1">
        <v>4.0207531999999998E-5</v>
      </c>
      <c r="AB21" s="1">
        <v>1.0133555E-7</v>
      </c>
    </row>
    <row r="22" spans="1:28" x14ac:dyDescent="0.45">
      <c r="A22">
        <v>19</v>
      </c>
      <c r="B22">
        <v>1</v>
      </c>
      <c r="C22" s="1">
        <v>9.0125502999999998E-7</v>
      </c>
      <c r="D22" s="1">
        <v>-4.8737912000000001E-6</v>
      </c>
      <c r="E22" s="1">
        <v>4.9564202000000001E-6</v>
      </c>
      <c r="F22" s="1">
        <v>2.9820862000000002E-4</v>
      </c>
      <c r="G22" s="1">
        <v>2.9824981000000001E-4</v>
      </c>
      <c r="H22" s="1">
        <v>4.3149811000000002E-5</v>
      </c>
      <c r="I22" s="1">
        <v>-3.2756858999999999E-5</v>
      </c>
      <c r="J22" s="1">
        <v>-9.7805272E-5</v>
      </c>
      <c r="K22" s="1">
        <v>-2.7984891000000002E-4</v>
      </c>
      <c r="L22" s="1">
        <v>2.9825206000000002E-4</v>
      </c>
      <c r="M22" s="1">
        <v>4.3152063000000002E-5</v>
      </c>
      <c r="N22" s="1">
        <v>55.633960999999999</v>
      </c>
      <c r="O22" s="1">
        <v>750</v>
      </c>
      <c r="P22" s="1">
        <v>805.63396</v>
      </c>
      <c r="Q22" s="1">
        <v>53.395828999999999</v>
      </c>
      <c r="R22" s="1">
        <v>2.2381329000000001</v>
      </c>
      <c r="S22" s="1">
        <v>0</v>
      </c>
      <c r="T22">
        <v>4325</v>
      </c>
      <c r="U22">
        <v>0</v>
      </c>
      <c r="V22" s="1">
        <v>0</v>
      </c>
      <c r="W22" s="1">
        <v>3.9656398000000002E-8</v>
      </c>
      <c r="X22" s="1">
        <v>0</v>
      </c>
      <c r="Y22">
        <v>0</v>
      </c>
      <c r="Z22">
        <v>1</v>
      </c>
      <c r="AA22" s="1">
        <v>2.7065506999999999E-5</v>
      </c>
      <c r="AB22" s="1">
        <v>8.4766157999999997E-8</v>
      </c>
    </row>
    <row r="23" spans="1:28" x14ac:dyDescent="0.45">
      <c r="A23">
        <v>20</v>
      </c>
      <c r="B23">
        <v>1</v>
      </c>
      <c r="C23" s="1">
        <v>9.3175298000000003E-7</v>
      </c>
      <c r="D23" s="1">
        <v>-2.6938816999999998E-6</v>
      </c>
      <c r="E23" s="1">
        <v>2.8504669999999998E-6</v>
      </c>
      <c r="F23" s="1">
        <v>2.9823619000000001E-4</v>
      </c>
      <c r="G23" s="1">
        <v>2.9824981000000001E-4</v>
      </c>
      <c r="H23" s="1">
        <v>4.3149811000000002E-5</v>
      </c>
      <c r="I23" s="1">
        <v>-2.3785129E-5</v>
      </c>
      <c r="J23" s="1">
        <v>-6.4801232999999996E-5</v>
      </c>
      <c r="K23" s="1">
        <v>-2.9015802000000002E-4</v>
      </c>
      <c r="L23" s="1">
        <v>2.9825594000000002E-4</v>
      </c>
      <c r="M23" s="1">
        <v>4.3155943000000002E-5</v>
      </c>
      <c r="N23" s="1">
        <v>77.218545000000006</v>
      </c>
      <c r="O23" s="1">
        <v>791.66666999999995</v>
      </c>
      <c r="P23" s="1">
        <v>868.88521000000003</v>
      </c>
      <c r="Q23" s="1">
        <v>71.519908999999998</v>
      </c>
      <c r="R23" s="1">
        <v>5.6986363000000004</v>
      </c>
      <c r="S23" s="1">
        <v>0</v>
      </c>
      <c r="T23">
        <v>7977</v>
      </c>
      <c r="U23">
        <v>0</v>
      </c>
      <c r="V23" s="1">
        <v>0</v>
      </c>
      <c r="W23" s="1">
        <v>3.9656398000000002E-8</v>
      </c>
      <c r="X23" s="1">
        <v>0</v>
      </c>
      <c r="Y23">
        <v>0</v>
      </c>
      <c r="Z23">
        <v>1</v>
      </c>
      <c r="AA23" s="1">
        <v>2.3113732999999999E-5</v>
      </c>
      <c r="AB23" s="1">
        <v>8.2697114999999996E-8</v>
      </c>
    </row>
    <row r="24" spans="1:28" x14ac:dyDescent="0.45">
      <c r="A24">
        <v>15</v>
      </c>
      <c r="B24">
        <v>5</v>
      </c>
      <c r="C24" s="1">
        <v>-8.1350546999999998E-6</v>
      </c>
      <c r="D24" s="1">
        <v>-9.6553422999999998E-7</v>
      </c>
      <c r="E24" s="1">
        <v>8.1921530000000007E-6</v>
      </c>
      <c r="F24" s="1">
        <v>2.9813727999999999E-4</v>
      </c>
      <c r="G24" s="1">
        <v>2.9824981000000001E-4</v>
      </c>
      <c r="H24" s="1">
        <v>4.3149811000000002E-5</v>
      </c>
      <c r="I24" s="1">
        <v>-1.1926666E-4</v>
      </c>
      <c r="J24" s="1">
        <v>-3.0290942999999999E-5</v>
      </c>
      <c r="K24" s="1">
        <v>2.2354822E-4</v>
      </c>
      <c r="L24" s="1">
        <v>2.5517815E-4</v>
      </c>
      <c r="M24" s="1">
        <v>7.8145789999999996E-8</v>
      </c>
      <c r="N24" s="1">
        <v>23.158429999999999</v>
      </c>
      <c r="O24" s="1">
        <v>583.33333000000005</v>
      </c>
      <c r="P24" s="1">
        <v>606.49176</v>
      </c>
      <c r="Q24" s="1">
        <v>22.562766</v>
      </c>
      <c r="R24" s="1">
        <v>0.59566470999999999</v>
      </c>
      <c r="S24" s="1">
        <v>0</v>
      </c>
      <c r="T24">
        <v>949</v>
      </c>
      <c r="U24">
        <v>0</v>
      </c>
      <c r="V24" s="1">
        <v>0</v>
      </c>
      <c r="W24" s="1">
        <v>3.9656398000000002E-8</v>
      </c>
      <c r="X24" s="1">
        <v>0</v>
      </c>
      <c r="Y24">
        <v>0</v>
      </c>
      <c r="Z24">
        <v>1</v>
      </c>
      <c r="AA24" s="1">
        <v>2.5752427000000002E-5</v>
      </c>
      <c r="AB24" s="1">
        <v>8.7569988999999996E-8</v>
      </c>
    </row>
    <row r="25" spans="1:28" x14ac:dyDescent="0.45">
      <c r="A25">
        <v>16</v>
      </c>
      <c r="B25">
        <v>5</v>
      </c>
      <c r="C25" s="1">
        <v>5.7970417999999997E-6</v>
      </c>
      <c r="D25" s="1">
        <v>2.833581E-6</v>
      </c>
      <c r="E25" s="1">
        <v>6.4525092E-6</v>
      </c>
      <c r="F25" s="1">
        <v>2.9817999999999999E-4</v>
      </c>
      <c r="G25" s="1">
        <v>2.9824981000000001E-4</v>
      </c>
      <c r="H25" s="1">
        <v>4.3149811000000002E-5</v>
      </c>
      <c r="I25" s="1">
        <v>8.7618115999999998E-5</v>
      </c>
      <c r="J25" s="1">
        <v>1.5993103999999999E-5</v>
      </c>
      <c r="K25" s="1">
        <v>2.3912514000000001E-4</v>
      </c>
      <c r="L25" s="1">
        <v>2.5517356000000002E-4</v>
      </c>
      <c r="M25" s="1">
        <v>7.3558128999999994E-8</v>
      </c>
      <c r="N25" s="1">
        <v>43.245381999999999</v>
      </c>
      <c r="O25" s="1">
        <v>625</v>
      </c>
      <c r="P25" s="1">
        <v>668.24537999999995</v>
      </c>
      <c r="Q25" s="1">
        <v>39.453995999999997</v>
      </c>
      <c r="R25" s="1">
        <v>3.7913869</v>
      </c>
      <c r="S25" s="1">
        <v>0</v>
      </c>
      <c r="T25">
        <v>4927</v>
      </c>
      <c r="U25">
        <v>0</v>
      </c>
      <c r="V25" s="1">
        <v>0</v>
      </c>
      <c r="W25" s="1">
        <v>3.9656398000000002E-8</v>
      </c>
      <c r="X25" s="1">
        <v>0</v>
      </c>
      <c r="Y25">
        <v>0</v>
      </c>
      <c r="Z25">
        <v>1</v>
      </c>
      <c r="AA25" s="1">
        <v>2.1072431999999999E-5</v>
      </c>
      <c r="AB25" s="1">
        <v>7.8099238999999997E-8</v>
      </c>
    </row>
    <row r="26" spans="1:28" x14ac:dyDescent="0.45">
      <c r="A26">
        <v>17</v>
      </c>
      <c r="B26">
        <v>5</v>
      </c>
      <c r="C26" s="1">
        <v>-7.4894255000000002E-7</v>
      </c>
      <c r="D26" s="1">
        <v>-8.2014959000000001E-6</v>
      </c>
      <c r="E26" s="1">
        <v>8.2356208000000005E-6</v>
      </c>
      <c r="F26" s="1">
        <v>2.9813608000000001E-4</v>
      </c>
      <c r="G26" s="1">
        <v>2.9824981000000001E-4</v>
      </c>
      <c r="H26" s="1">
        <v>4.3149811000000002E-5</v>
      </c>
      <c r="I26" s="1">
        <v>6.8700411999999997E-5</v>
      </c>
      <c r="J26" s="1">
        <v>-9.5299931000000004E-5</v>
      </c>
      <c r="K26" s="1">
        <v>2.2662124E-4</v>
      </c>
      <c r="L26" s="1">
        <v>2.5526263E-4</v>
      </c>
      <c r="M26" s="1">
        <v>1.6263309999999999E-7</v>
      </c>
      <c r="N26" s="1">
        <v>26.010611000000001</v>
      </c>
      <c r="O26" s="1">
        <v>666.66666999999995</v>
      </c>
      <c r="P26" s="1">
        <v>692.67728</v>
      </c>
      <c r="Q26" s="1">
        <v>25.134913000000001</v>
      </c>
      <c r="R26" s="1">
        <v>0.87569861999999998</v>
      </c>
      <c r="S26" s="1">
        <v>0</v>
      </c>
      <c r="T26">
        <v>874</v>
      </c>
      <c r="U26">
        <v>0</v>
      </c>
      <c r="V26" s="1">
        <v>0</v>
      </c>
      <c r="W26" s="1">
        <v>3.9656398000000002E-8</v>
      </c>
      <c r="X26" s="1">
        <v>0</v>
      </c>
      <c r="Y26">
        <v>0</v>
      </c>
      <c r="Z26">
        <v>1</v>
      </c>
      <c r="AA26" s="1">
        <v>1.8167536E-5</v>
      </c>
      <c r="AB26" s="1">
        <v>8.1684176999999999E-8</v>
      </c>
    </row>
    <row r="27" spans="1:28" x14ac:dyDescent="0.45">
      <c r="Z27" t="s">
        <v>95</v>
      </c>
      <c r="AA27" s="1">
        <f>AVERAGE(AA7:AA26)</f>
        <v>2.3121106899999995E-5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NSVEL</vt:lpstr>
      <vt:lpstr>1000 nm Exit-Rem</vt:lpstr>
      <vt:lpstr>1000 nm Exit-Rem (2)</vt:lpstr>
      <vt:lpstr>100 nm Exit-Rem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Paul Johnson</dc:creator>
  <cp:lastModifiedBy>William Paul Johnson</cp:lastModifiedBy>
  <dcterms:created xsi:type="dcterms:W3CDTF">2019-03-07T03:55:07Z</dcterms:created>
  <dcterms:modified xsi:type="dcterms:W3CDTF">2019-03-08T15:31:52Z</dcterms:modified>
</cp:coreProperties>
</file>